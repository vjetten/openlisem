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gc\lisemgit\openlisem\auxfiles\"/>
    </mc:Choice>
  </mc:AlternateContent>
  <xr:revisionPtr revIDLastSave="0" documentId="13_ncr:1_{80E88A6E-0A83-455E-B184-4CCABCBCF0F0}" xr6:coauthVersionLast="47" xr6:coauthVersionMax="47" xr10:uidLastSave="{00000000-0000-0000-0000-000000000000}"/>
  <bookViews>
    <workbookView xWindow="-108" yWindow="-108" windowWidth="30936" windowHeight="16776" xr2:uid="{9FC60C47-B66A-43C8-B06D-5DC8C749F2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" i="1" l="1"/>
  <c r="N16" i="1"/>
  <c r="N17" i="1"/>
  <c r="N18" i="1"/>
  <c r="N19" i="1"/>
  <c r="N20" i="1"/>
  <c r="N21" i="1"/>
  <c r="N22" i="1"/>
  <c r="N23" i="1"/>
  <c r="N24" i="1"/>
  <c r="N14" i="1"/>
  <c r="O15" i="1"/>
  <c r="O16" i="1"/>
  <c r="O17" i="1"/>
  <c r="O18" i="1"/>
  <c r="O19" i="1"/>
  <c r="O20" i="1"/>
  <c r="O21" i="1"/>
  <c r="O22" i="1"/>
  <c r="O23" i="1"/>
  <c r="O24" i="1"/>
  <c r="O14" i="1"/>
  <c r="R22" i="1"/>
  <c r="R23" i="1"/>
  <c r="R24" i="1"/>
  <c r="R14" i="1"/>
  <c r="Q22" i="1"/>
  <c r="Q23" i="1"/>
  <c r="Q24" i="1"/>
  <c r="Q14" i="1"/>
  <c r="P14" i="1"/>
  <c r="K30" i="1"/>
  <c r="K31" i="1" s="1"/>
  <c r="E15" i="1"/>
  <c r="R15" i="1" s="1"/>
  <c r="E16" i="1"/>
  <c r="Q16" i="1" s="1"/>
  <c r="E17" i="1"/>
  <c r="Q17" i="1" s="1"/>
  <c r="E18" i="1"/>
  <c r="R18" i="1" s="1"/>
  <c r="E19" i="1"/>
  <c r="R19" i="1" s="1"/>
  <c r="E20" i="1"/>
  <c r="R20" i="1" s="1"/>
  <c r="E21" i="1"/>
  <c r="R21" i="1" s="1"/>
  <c r="E22" i="1"/>
  <c r="E23" i="1"/>
  <c r="E24" i="1"/>
  <c r="E14" i="1"/>
  <c r="G10" i="1"/>
  <c r="G15" i="1"/>
  <c r="G16" i="1" s="1"/>
  <c r="H10" i="1"/>
  <c r="K14" i="1" s="1"/>
  <c r="H9" i="1"/>
  <c r="J18" i="1" s="1"/>
  <c r="H8" i="1"/>
  <c r="Q21" i="1" l="1"/>
  <c r="Q20" i="1"/>
  <c r="Q19" i="1"/>
  <c r="Q18" i="1"/>
  <c r="Q15" i="1"/>
  <c r="J14" i="1"/>
  <c r="R17" i="1"/>
  <c r="R16" i="1"/>
  <c r="P16" i="1"/>
  <c r="P15" i="1"/>
  <c r="J24" i="1"/>
  <c r="J22" i="1"/>
  <c r="J21" i="1"/>
  <c r="J20" i="1"/>
  <c r="J19" i="1"/>
  <c r="J17" i="1"/>
  <c r="J23" i="1"/>
  <c r="J15" i="1"/>
  <c r="J16" i="1"/>
  <c r="H14" i="1"/>
  <c r="I14" i="1" s="1"/>
  <c r="L14" i="1" s="1"/>
  <c r="H15" i="1"/>
  <c r="I15" i="1" s="1"/>
  <c r="K15" i="1"/>
  <c r="G17" i="1"/>
  <c r="P17" i="1" s="1"/>
  <c r="K16" i="1"/>
  <c r="H16" i="1"/>
  <c r="I16" i="1" s="1"/>
  <c r="H17" i="1"/>
  <c r="I17" i="1" s="1"/>
  <c r="K17" i="1" l="1"/>
  <c r="L17" i="1" s="1"/>
  <c r="G18" i="1"/>
  <c r="P18" i="1" s="1"/>
  <c r="L16" i="1"/>
  <c r="L15" i="1"/>
  <c r="G19" i="1"/>
  <c r="P19" i="1" s="1"/>
  <c r="H18" i="1"/>
  <c r="I18" i="1" s="1"/>
  <c r="K18" i="1"/>
  <c r="L18" i="1" l="1"/>
  <c r="G20" i="1"/>
  <c r="P20" i="1" s="1"/>
  <c r="K19" i="1"/>
  <c r="H19" i="1"/>
  <c r="I19" i="1" s="1"/>
  <c r="L19" i="1" l="1"/>
  <c r="G21" i="1"/>
  <c r="P21" i="1" s="1"/>
  <c r="H20" i="1"/>
  <c r="I20" i="1" s="1"/>
  <c r="K20" i="1"/>
  <c r="L20" i="1" l="1"/>
  <c r="K21" i="1"/>
  <c r="G22" i="1"/>
  <c r="P22" i="1" s="1"/>
  <c r="H21" i="1"/>
  <c r="I21" i="1" s="1"/>
  <c r="L21" i="1" l="1"/>
  <c r="G23" i="1"/>
  <c r="P23" i="1" s="1"/>
  <c r="H22" i="1"/>
  <c r="I22" i="1" s="1"/>
  <c r="K22" i="1"/>
  <c r="L22" i="1" l="1"/>
  <c r="G24" i="1"/>
  <c r="P24" i="1" s="1"/>
  <c r="K23" i="1"/>
  <c r="H23" i="1"/>
  <c r="I23" i="1" s="1"/>
  <c r="L23" i="1" l="1"/>
  <c r="H24" i="1"/>
  <c r="I24" i="1" s="1"/>
  <c r="K24" i="1"/>
  <c r="L24" i="1" s="1"/>
</calcChain>
</file>

<file path=xl/sharedStrings.xml><?xml version="1.0" encoding="utf-8"?>
<sst xmlns="http://schemas.openxmlformats.org/spreadsheetml/2006/main" count="17" uniqueCount="17">
  <si>
    <t>dx</t>
  </si>
  <si>
    <t>cw</t>
  </si>
  <si>
    <t>cha</t>
  </si>
  <si>
    <t>cd</t>
  </si>
  <si>
    <t>cWH</t>
  </si>
  <si>
    <t>h</t>
  </si>
  <si>
    <t>h_eq</t>
  </si>
  <si>
    <t>A</t>
  </si>
  <si>
    <t>volch</t>
  </si>
  <si>
    <t>volarea</t>
  </si>
  <si>
    <t>vol_eq</t>
  </si>
  <si>
    <t>reference</t>
  </si>
  <si>
    <t>max flow</t>
  </si>
  <si>
    <t>dWHc</t>
  </si>
  <si>
    <t>Q</t>
  </si>
  <si>
    <t>flow from channel</t>
  </si>
  <si>
    <t>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</si>
</sst>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76200</xdr:colOff>
      <xdr:row>4</xdr:row>
      <xdr:rowOff>114300</xdr:rowOff>
    </xdr:from>
    <xdr:to>
      <xdr:col>33</xdr:col>
      <xdr:colOff>57998</xdr:colOff>
      <xdr:row>30</xdr:row>
      <xdr:rowOff>55900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3DDEA2-CE5F-DE5D-3724-E3CC60308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87400" y="845820"/>
          <a:ext cx="6077798" cy="4696480"/>
        </a:xfrm>
        <a:prstGeom prst="rect">
          <a:avLst/>
        </a:prstGeom>
      </xdr:spPr>
    </xdr:pic>
    <xdr:clientData/>
  </xdr:twoCellAnchor>
  <xdr:twoCellAnchor editAs="oneCell">
    <xdr:from>
      <xdr:col>13</xdr:col>
      <xdr:colOff>556260</xdr:colOff>
      <xdr:row>29</xdr:row>
      <xdr:rowOff>121920</xdr:rowOff>
    </xdr:from>
    <xdr:to>
      <xdr:col>22</xdr:col>
      <xdr:colOff>536030</xdr:colOff>
      <xdr:row>51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F2CCBF-1FAD-D23F-4AE0-EE918C740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81060" y="5425440"/>
          <a:ext cx="5466170" cy="39395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A0E98-41D5-475E-AC94-EB9823228E92}">
  <dimension ref="E7:R31"/>
  <sheetViews>
    <sheetView tabSelected="1" topLeftCell="D10" workbookViewId="0">
      <selection activeCell="O14" sqref="O14"/>
    </sheetView>
  </sheetViews>
  <sheetFormatPr defaultRowHeight="14.4" x14ac:dyDescent="0.3"/>
  <sheetData>
    <row r="7" spans="5:18" x14ac:dyDescent="0.3">
      <c r="H7" t="s">
        <v>7</v>
      </c>
    </row>
    <row r="8" spans="5:18" x14ac:dyDescent="0.3">
      <c r="F8" t="s">
        <v>0</v>
      </c>
      <c r="G8">
        <v>10</v>
      </c>
      <c r="H8">
        <f>G8*G8</f>
        <v>100</v>
      </c>
    </row>
    <row r="9" spans="5:18" x14ac:dyDescent="0.3">
      <c r="F9" t="s">
        <v>1</v>
      </c>
      <c r="G9">
        <v>3</v>
      </c>
      <c r="H9">
        <f>G9*G8</f>
        <v>30</v>
      </c>
    </row>
    <row r="10" spans="5:18" x14ac:dyDescent="0.3">
      <c r="F10" t="s">
        <v>2</v>
      </c>
      <c r="G10">
        <f>G8-G9</f>
        <v>7</v>
      </c>
      <c r="H10">
        <f>G10*G8</f>
        <v>70</v>
      </c>
    </row>
    <row r="11" spans="5:18" x14ac:dyDescent="0.3">
      <c r="F11" t="s">
        <v>3</v>
      </c>
      <c r="G11">
        <v>1.5</v>
      </c>
    </row>
    <row r="12" spans="5:18" x14ac:dyDescent="0.3">
      <c r="J12" t="s">
        <v>11</v>
      </c>
      <c r="L12" t="s">
        <v>12</v>
      </c>
      <c r="N12" t="s">
        <v>15</v>
      </c>
    </row>
    <row r="13" spans="5:18" x14ac:dyDescent="0.3">
      <c r="E13" t="s">
        <v>13</v>
      </c>
      <c r="F13" t="s">
        <v>4</v>
      </c>
      <c r="G13" t="s">
        <v>5</v>
      </c>
      <c r="H13" t="s">
        <v>6</v>
      </c>
      <c r="I13" t="s">
        <v>10</v>
      </c>
      <c r="J13" s="1" t="s">
        <v>8</v>
      </c>
      <c r="K13" s="2" t="s">
        <v>9</v>
      </c>
      <c r="N13" t="s">
        <v>16</v>
      </c>
      <c r="P13" t="s">
        <v>14</v>
      </c>
    </row>
    <row r="14" spans="5:18" x14ac:dyDescent="0.3">
      <c r="E14">
        <f>F14-$G$11</f>
        <v>-1</v>
      </c>
      <c r="F14">
        <v>0.5</v>
      </c>
      <c r="G14">
        <v>0.05</v>
      </c>
      <c r="H14">
        <f>((F14-$G$11)*$H$9+G14*$H$10)/$H$8</f>
        <v>-0.26500000000000001</v>
      </c>
      <c r="I14">
        <f>H14*$H$8</f>
        <v>-26.5</v>
      </c>
      <c r="J14" s="3">
        <f>(F14-$G$11)*$H$9</f>
        <v>-30</v>
      </c>
      <c r="K14" s="4">
        <f>G14*$H$10</f>
        <v>3.5</v>
      </c>
      <c r="L14">
        <f>K14-MAX(0,I14)</f>
        <v>3.5</v>
      </c>
      <c r="N14">
        <f>0.65/SQRT(1+MAX(0,E14)/$G$11)</f>
        <v>0.65</v>
      </c>
      <c r="O14">
        <f>N14*SQRT(9.807)*(2/3)^1.5</f>
        <v>1.1080122341883734</v>
      </c>
      <c r="P14">
        <f>N14*SQRT(9.81)*$G$8*(2/3*MAX(0,E14))^1.5</f>
        <v>0</v>
      </c>
      <c r="Q14">
        <f>1.7*$G$8*MAX(0,E14)^15</f>
        <v>0</v>
      </c>
      <c r="R14">
        <f>1.705-0.305*MAX(0,E14)/$G$11</f>
        <v>1.7050000000000001</v>
      </c>
    </row>
    <row r="15" spans="5:18" x14ac:dyDescent="0.3">
      <c r="E15">
        <f t="shared" ref="E15:E24" si="0">F15-$G$11</f>
        <v>-0.8</v>
      </c>
      <c r="F15">
        <v>0.7</v>
      </c>
      <c r="G15">
        <f>G14</f>
        <v>0.05</v>
      </c>
      <c r="H15">
        <f t="shared" ref="H15:H24" si="1">((F15-$G$11)*$H$9+G15*$H$10)/$H$8</f>
        <v>-0.20499999999999999</v>
      </c>
      <c r="I15">
        <f t="shared" ref="I15:I24" si="2">H15*$H$8</f>
        <v>-20.5</v>
      </c>
      <c r="J15" s="3">
        <f>(F15-$G$11)*$H$9</f>
        <v>-24</v>
      </c>
      <c r="K15" s="4">
        <f>G15*$H$10</f>
        <v>3.5</v>
      </c>
      <c r="L15">
        <f t="shared" ref="L15:L24" si="3">K15-MAX(0,I15)</f>
        <v>3.5</v>
      </c>
      <c r="N15">
        <f t="shared" ref="N15:N24" si="4">0.65/SQRT(1+MAX(0,E15)/$G$11)</f>
        <v>0.65</v>
      </c>
      <c r="O15">
        <f t="shared" ref="O15:O24" si="5">N15*SQRT(9.807)*(2/3)^1.5</f>
        <v>1.1080122341883734</v>
      </c>
      <c r="P15">
        <f t="shared" ref="P15:P24" si="6">N15*SQRT(9.81)*$G$8*(2/3*MAX(0,E15))^1.5</f>
        <v>0</v>
      </c>
      <c r="Q15">
        <f t="shared" ref="Q15:Q24" si="7">1.7*$G$8*MAX(0,E15)^15</f>
        <v>0</v>
      </c>
      <c r="R15">
        <f t="shared" ref="R15:R24" si="8">1.705-0.305*MAX(0,E15)/$G$11</f>
        <v>1.7050000000000001</v>
      </c>
    </row>
    <row r="16" spans="5:18" x14ac:dyDescent="0.3">
      <c r="E16">
        <f t="shared" si="0"/>
        <v>-0.6</v>
      </c>
      <c r="F16">
        <v>0.9</v>
      </c>
      <c r="G16">
        <f t="shared" ref="G16:G24" si="9">G15</f>
        <v>0.05</v>
      </c>
      <c r="H16">
        <f t="shared" si="1"/>
        <v>-0.14499999999999999</v>
      </c>
      <c r="I16">
        <f t="shared" si="2"/>
        <v>-14.499999999999998</v>
      </c>
      <c r="J16" s="3">
        <f>(F16-$G$11)*$H$9</f>
        <v>-18</v>
      </c>
      <c r="K16" s="4">
        <f>G16*$H$10</f>
        <v>3.5</v>
      </c>
      <c r="L16">
        <f t="shared" si="3"/>
        <v>3.5</v>
      </c>
      <c r="N16">
        <f t="shared" si="4"/>
        <v>0.65</v>
      </c>
      <c r="O16">
        <f t="shared" si="5"/>
        <v>1.1080122341883734</v>
      </c>
      <c r="P16">
        <f t="shared" si="6"/>
        <v>0</v>
      </c>
      <c r="Q16">
        <f t="shared" si="7"/>
        <v>0</v>
      </c>
      <c r="R16">
        <f t="shared" si="8"/>
        <v>1.7050000000000001</v>
      </c>
    </row>
    <row r="17" spans="5:18" x14ac:dyDescent="0.3">
      <c r="E17">
        <f t="shared" si="0"/>
        <v>-0.39999999999999991</v>
      </c>
      <c r="F17">
        <v>1.1000000000000001</v>
      </c>
      <c r="G17">
        <f t="shared" si="9"/>
        <v>0.05</v>
      </c>
      <c r="H17">
        <f t="shared" si="1"/>
        <v>-8.4999999999999964E-2</v>
      </c>
      <c r="I17">
        <f t="shared" si="2"/>
        <v>-8.4999999999999964</v>
      </c>
      <c r="J17" s="3">
        <f>(F17-$G$11)*$H$9</f>
        <v>-11.999999999999996</v>
      </c>
      <c r="K17" s="4">
        <f>G17*$H$10</f>
        <v>3.5</v>
      </c>
      <c r="L17">
        <f t="shared" si="3"/>
        <v>3.5</v>
      </c>
      <c r="N17">
        <f t="shared" si="4"/>
        <v>0.65</v>
      </c>
      <c r="O17">
        <f t="shared" si="5"/>
        <v>1.1080122341883734</v>
      </c>
      <c r="P17">
        <f t="shared" si="6"/>
        <v>0</v>
      </c>
      <c r="Q17">
        <f t="shared" si="7"/>
        <v>0</v>
      </c>
      <c r="R17">
        <f t="shared" si="8"/>
        <v>1.7050000000000001</v>
      </c>
    </row>
    <row r="18" spans="5:18" x14ac:dyDescent="0.3">
      <c r="E18">
        <f t="shared" si="0"/>
        <v>-0.19999999999999996</v>
      </c>
      <c r="F18">
        <v>1.3</v>
      </c>
      <c r="G18">
        <f t="shared" si="9"/>
        <v>0.05</v>
      </c>
      <c r="H18">
        <f t="shared" si="1"/>
        <v>-2.4999999999999981E-2</v>
      </c>
      <c r="I18">
        <f t="shared" si="2"/>
        <v>-2.4999999999999982</v>
      </c>
      <c r="J18" s="3">
        <f>(F18-$G$11)*$H$9</f>
        <v>-5.9999999999999982</v>
      </c>
      <c r="K18" s="4">
        <f>G18*$H$10</f>
        <v>3.5</v>
      </c>
      <c r="L18">
        <f t="shared" si="3"/>
        <v>3.5</v>
      </c>
      <c r="N18">
        <f t="shared" si="4"/>
        <v>0.65</v>
      </c>
      <c r="O18">
        <f t="shared" si="5"/>
        <v>1.1080122341883734</v>
      </c>
      <c r="P18">
        <f t="shared" si="6"/>
        <v>0</v>
      </c>
      <c r="Q18">
        <f t="shared" si="7"/>
        <v>0</v>
      </c>
      <c r="R18">
        <f t="shared" si="8"/>
        <v>1.7050000000000001</v>
      </c>
    </row>
    <row r="19" spans="5:18" x14ac:dyDescent="0.3">
      <c r="E19">
        <f t="shared" si="0"/>
        <v>0</v>
      </c>
      <c r="F19">
        <v>1.5</v>
      </c>
      <c r="G19">
        <f t="shared" si="9"/>
        <v>0.05</v>
      </c>
      <c r="H19">
        <f t="shared" si="1"/>
        <v>3.5000000000000003E-2</v>
      </c>
      <c r="I19">
        <f t="shared" si="2"/>
        <v>3.5000000000000004</v>
      </c>
      <c r="J19" s="3">
        <f>(F19-$G$11)*$H$9</f>
        <v>0</v>
      </c>
      <c r="K19" s="4">
        <f>G19*$H$10</f>
        <v>3.5</v>
      </c>
      <c r="L19">
        <f t="shared" si="3"/>
        <v>0</v>
      </c>
      <c r="N19">
        <f t="shared" si="4"/>
        <v>0.65</v>
      </c>
      <c r="O19">
        <f t="shared" si="5"/>
        <v>1.1080122341883734</v>
      </c>
      <c r="P19">
        <f t="shared" si="6"/>
        <v>0</v>
      </c>
      <c r="Q19">
        <f t="shared" si="7"/>
        <v>0</v>
      </c>
      <c r="R19">
        <f t="shared" si="8"/>
        <v>1.7050000000000001</v>
      </c>
    </row>
    <row r="20" spans="5:18" x14ac:dyDescent="0.3">
      <c r="E20">
        <f t="shared" si="0"/>
        <v>0.19999999999999996</v>
      </c>
      <c r="F20">
        <v>1.7</v>
      </c>
      <c r="G20">
        <f t="shared" si="9"/>
        <v>0.05</v>
      </c>
      <c r="H20">
        <f t="shared" si="1"/>
        <v>9.4999999999999987E-2</v>
      </c>
      <c r="I20">
        <f t="shared" si="2"/>
        <v>9.4999999999999982</v>
      </c>
      <c r="J20" s="3">
        <f>(F20-$G$11)*$H$9</f>
        <v>5.9999999999999982</v>
      </c>
      <c r="K20" s="4">
        <f>G20*$H$10</f>
        <v>3.5</v>
      </c>
      <c r="L20">
        <f t="shared" si="3"/>
        <v>-5.9999999999999982</v>
      </c>
      <c r="N20">
        <f t="shared" si="4"/>
        <v>0.61056868380802076</v>
      </c>
      <c r="O20">
        <f t="shared" si="5"/>
        <v>1.0407962638024302</v>
      </c>
      <c r="P20">
        <f t="shared" si="6"/>
        <v>0.93105885326078797</v>
      </c>
      <c r="Q20">
        <f t="shared" si="7"/>
        <v>5.5705599999999794E-10</v>
      </c>
      <c r="R20">
        <f t="shared" si="8"/>
        <v>1.6643333333333334</v>
      </c>
    </row>
    <row r="21" spans="5:18" x14ac:dyDescent="0.3">
      <c r="E21">
        <f t="shared" si="0"/>
        <v>0.39999999999999991</v>
      </c>
      <c r="F21">
        <v>1.9</v>
      </c>
      <c r="G21">
        <f t="shared" si="9"/>
        <v>0.05</v>
      </c>
      <c r="H21">
        <f t="shared" si="1"/>
        <v>0.15499999999999997</v>
      </c>
      <c r="I21">
        <f t="shared" si="2"/>
        <v>15.499999999999996</v>
      </c>
      <c r="J21" s="3">
        <f>(F21-$G$11)*$H$9</f>
        <v>11.999999999999996</v>
      </c>
      <c r="K21" s="4">
        <f>G21*$H$10</f>
        <v>3.5</v>
      </c>
      <c r="L21">
        <f t="shared" si="3"/>
        <v>-11.999999999999996</v>
      </c>
      <c r="N21">
        <f t="shared" si="4"/>
        <v>0.57754015581511498</v>
      </c>
      <c r="O21">
        <f t="shared" si="5"/>
        <v>0.98449470519724114</v>
      </c>
      <c r="P21">
        <f t="shared" si="6"/>
        <v>2.490977402758328</v>
      </c>
      <c r="Q21">
        <f t="shared" si="7"/>
        <v>1.8253611007999932E-5</v>
      </c>
      <c r="R21">
        <f t="shared" si="8"/>
        <v>1.6236666666666668</v>
      </c>
    </row>
    <row r="22" spans="5:18" x14ac:dyDescent="0.3">
      <c r="E22">
        <f t="shared" si="0"/>
        <v>0.60000000000000009</v>
      </c>
      <c r="F22">
        <v>2.1</v>
      </c>
      <c r="G22">
        <f t="shared" si="9"/>
        <v>0.05</v>
      </c>
      <c r="H22">
        <f t="shared" si="1"/>
        <v>0.21500000000000002</v>
      </c>
      <c r="I22">
        <f>H22*$H$8</f>
        <v>21.500000000000004</v>
      </c>
      <c r="J22" s="3">
        <f>(F22-$G$11)*$H$9</f>
        <v>18.000000000000004</v>
      </c>
      <c r="K22" s="4">
        <f>G22*$H$10</f>
        <v>3.5</v>
      </c>
      <c r="L22">
        <f t="shared" si="3"/>
        <v>-18.000000000000004</v>
      </c>
      <c r="N22">
        <f t="shared" si="4"/>
        <v>0.54935026557353583</v>
      </c>
      <c r="O22">
        <f t="shared" si="5"/>
        <v>0.93644125401555334</v>
      </c>
      <c r="P22">
        <f t="shared" si="6"/>
        <v>4.3528512822877721</v>
      </c>
      <c r="Q22">
        <f t="shared" si="7"/>
        <v>7.9931447377920174E-3</v>
      </c>
      <c r="R22">
        <f t="shared" si="8"/>
        <v>1.583</v>
      </c>
    </row>
    <row r="23" spans="5:18" x14ac:dyDescent="0.3">
      <c r="E23">
        <f t="shared" si="0"/>
        <v>0.79999999999999982</v>
      </c>
      <c r="F23">
        <v>2.2999999999999998</v>
      </c>
      <c r="G23">
        <f t="shared" si="9"/>
        <v>0.05</v>
      </c>
      <c r="H23">
        <f t="shared" si="1"/>
        <v>0.27499999999999991</v>
      </c>
      <c r="I23">
        <f t="shared" si="2"/>
        <v>27.499999999999993</v>
      </c>
      <c r="J23" s="3">
        <f>(F23-$G$11)*$H$9</f>
        <v>23.999999999999993</v>
      </c>
      <c r="K23" s="4">
        <f>G23*$H$10</f>
        <v>3.5</v>
      </c>
      <c r="L23">
        <f t="shared" si="3"/>
        <v>-23.999999999999993</v>
      </c>
      <c r="N23">
        <f t="shared" si="4"/>
        <v>0.52492235450671143</v>
      </c>
      <c r="O23">
        <f t="shared" si="5"/>
        <v>0.894800601219081</v>
      </c>
      <c r="P23">
        <f t="shared" si="6"/>
        <v>6.4036511324467824</v>
      </c>
      <c r="Q23">
        <f t="shared" si="7"/>
        <v>0.59813432551014178</v>
      </c>
      <c r="R23">
        <f t="shared" si="8"/>
        <v>1.5423333333333336</v>
      </c>
    </row>
    <row r="24" spans="5:18" x14ac:dyDescent="0.3">
      <c r="E24">
        <f t="shared" si="0"/>
        <v>1</v>
      </c>
      <c r="F24">
        <v>2.5</v>
      </c>
      <c r="G24">
        <f t="shared" si="9"/>
        <v>0.05</v>
      </c>
      <c r="H24">
        <f t="shared" si="1"/>
        <v>0.33500000000000002</v>
      </c>
      <c r="I24">
        <f t="shared" si="2"/>
        <v>33.5</v>
      </c>
      <c r="J24" s="5">
        <f>(F24-$G$11)*$H$9</f>
        <v>30</v>
      </c>
      <c r="K24" s="6">
        <f>G24*$H$10</f>
        <v>3.5</v>
      </c>
      <c r="L24">
        <f t="shared" si="3"/>
        <v>-30</v>
      </c>
      <c r="N24">
        <f t="shared" si="4"/>
        <v>0.50348783500696426</v>
      </c>
      <c r="O24">
        <f t="shared" si="5"/>
        <v>0.8582625860811286</v>
      </c>
      <c r="P24">
        <f t="shared" si="6"/>
        <v>8.5839384899939724</v>
      </c>
      <c r="Q24">
        <f t="shared" si="7"/>
        <v>17</v>
      </c>
      <c r="R24">
        <f t="shared" si="8"/>
        <v>1.5016666666666667</v>
      </c>
    </row>
    <row r="30" spans="5:18" x14ac:dyDescent="0.3">
      <c r="K30">
        <f>SQRT(2*9.81)</f>
        <v>4.4294469180700204</v>
      </c>
    </row>
    <row r="31" spans="5:18" x14ac:dyDescent="0.3">
      <c r="K31">
        <f>K30*0.56</f>
        <v>2.4804902741192119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Jetten, Victor (UT-ITC)</dc:creator>
  <cp:lastModifiedBy>Jetten, Victor (UT-ITC)</cp:lastModifiedBy>
  <dcterms:created xsi:type="dcterms:W3CDTF">2025-05-05T05:56:35Z</dcterms:created>
  <dcterms:modified xsi:type="dcterms:W3CDTF">2025-05-05T07:28:29Z</dcterms:modified>
</cp:coreProperties>
</file>