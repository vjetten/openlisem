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54A77C74-1346-46C3-AAF0-56854B3C9902}" xr6:coauthVersionLast="47" xr6:coauthVersionMax="47" xr10:uidLastSave="{00000000-0000-0000-0000-000000000000}"/>
  <bookViews>
    <workbookView xWindow="-108" yWindow="-108" windowWidth="30936" windowHeight="16896" xr2:uid="{EE7E3014-B43F-4E75-BCA9-657834F4F7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" i="1" l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8" i="1"/>
  <c r="H8" i="1" s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X12" i="1" l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</calcChain>
</file>

<file path=xl/sharedStrings.xml><?xml version="1.0" encoding="utf-8"?>
<sst xmlns="http://schemas.openxmlformats.org/spreadsheetml/2006/main" count="56" uniqueCount="49">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</sst>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50483</xdr:colOff>
      <xdr:row>10</xdr:row>
      <xdr:rowOff>153351</xdr:rowOff>
    </xdr:from>
    <xdr:to>
      <xdr:col>17</xdr:col>
      <xdr:colOff>355283</xdr:colOff>
      <xdr:row>21</xdr:row>
      <xdr:rowOff>39051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233841</xdr:colOff>
      <xdr:row>42</xdr:row>
      <xdr:rowOff>115253</xdr:rowOff>
    </xdr:from>
    <xdr:to>
      <xdr:col>20</xdr:col>
      <xdr:colOff>538641</xdr:colOff>
      <xdr:row>56</xdr:row>
      <xdr:rowOff>16193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18"/>
  <sheetViews>
    <sheetView tabSelected="1" topLeftCell="G4" workbookViewId="0">
      <selection activeCell="Z8" activeCellId="1" sqref="X8:X18 Z8:Z18"/>
    </sheetView>
  </sheetViews>
  <sheetFormatPr defaultRowHeight="14.4" x14ac:dyDescent="0.3"/>
  <cols>
    <col min="8" max="8" width="12.109375" bestFit="1" customWidth="1"/>
  </cols>
  <sheetData>
    <row r="1" spans="6:29" x14ac:dyDescent="0.3">
      <c r="F1" s="4" t="s">
        <v>34</v>
      </c>
      <c r="G1" s="4"/>
      <c r="H1" s="4"/>
    </row>
    <row r="3" spans="6:29" x14ac:dyDescent="0.3">
      <c r="F3" s="5" t="s">
        <v>41</v>
      </c>
      <c r="G3" s="5"/>
      <c r="H3" s="5"/>
    </row>
    <row r="4" spans="6:29" ht="129.6" x14ac:dyDescent="0.3">
      <c r="F4" s="12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5.6" x14ac:dyDescent="0.3">
      <c r="F5" s="12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5" x14ac:dyDescent="0.3">
      <c r="F6" s="12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3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3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ht="28.8" x14ac:dyDescent="0.3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S9">
        <f t="shared" ref="S9:S18" si="4">P9*10</f>
        <v>59.800000000000004</v>
      </c>
      <c r="T9">
        <f t="shared" ref="T9:T18" si="5">Q9</f>
        <v>6.13</v>
      </c>
      <c r="V9">
        <f t="shared" ref="V9:V18" si="6">LOG(S9)</f>
        <v>1.7767011839884108</v>
      </c>
      <c r="W9">
        <f t="shared" ref="W9:W18" si="7">LOG(T9)</f>
        <v>0.78746047451841505</v>
      </c>
      <c r="X9">
        <f t="shared" ref="X9:X18" si="8">LN(S9)</f>
        <v>4.0910056609565864</v>
      </c>
      <c r="Y9">
        <f t="shared" ref="Y9:Y18" si="9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0">LN(Z9)</f>
        <v>-0.5923972774598022</v>
      </c>
      <c r="AC9">
        <f t="shared" ref="AC9:AC18" si="11">LN(N9)</f>
        <v>2.1621729392773008</v>
      </c>
    </row>
    <row r="10" spans="6:29" ht="28.8" x14ac:dyDescent="0.3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S10">
        <f t="shared" si="4"/>
        <v>21.8</v>
      </c>
      <c r="T10">
        <f t="shared" si="5"/>
        <v>11.01</v>
      </c>
      <c r="V10">
        <f t="shared" si="6"/>
        <v>1.3384564936046048</v>
      </c>
      <c r="W10">
        <f t="shared" si="7"/>
        <v>1.0417873189717517</v>
      </c>
      <c r="X10">
        <f t="shared" si="8"/>
        <v>3.0819099697950434</v>
      </c>
      <c r="Y10">
        <f t="shared" si="9"/>
        <v>2.3988039507345884</v>
      </c>
      <c r="Z10">
        <f t="shared" si="0"/>
        <v>0.378</v>
      </c>
      <c r="AA10">
        <f t="shared" si="1"/>
        <v>3.0819099697950434</v>
      </c>
      <c r="AB10">
        <f t="shared" si="10"/>
        <v>-0.97286108336254939</v>
      </c>
      <c r="AC10">
        <f t="shared" si="11"/>
        <v>2.6851226964585053</v>
      </c>
    </row>
    <row r="11" spans="6:29" x14ac:dyDescent="0.3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S11">
        <f t="shared" si="4"/>
        <v>13.200000000000001</v>
      </c>
      <c r="T11">
        <f t="shared" si="5"/>
        <v>8.89</v>
      </c>
      <c r="V11">
        <f t="shared" si="6"/>
        <v>1.1205739312058498</v>
      </c>
      <c r="W11">
        <f t="shared" si="7"/>
        <v>0.94890176097021373</v>
      </c>
      <c r="X11">
        <f t="shared" si="8"/>
        <v>2.5802168295923251</v>
      </c>
      <c r="Y11">
        <f t="shared" si="9"/>
        <v>2.1849270495258133</v>
      </c>
      <c r="Z11">
        <f t="shared" si="0"/>
        <v>0.252</v>
      </c>
      <c r="AA11">
        <f t="shared" si="1"/>
        <v>2.5802168295923251</v>
      </c>
      <c r="AB11">
        <f t="shared" si="10"/>
        <v>-1.3783261914707137</v>
      </c>
      <c r="AC11">
        <f t="shared" si="11"/>
        <v>2.411439497906128</v>
      </c>
    </row>
    <row r="12" spans="6:29" x14ac:dyDescent="0.3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S12">
        <f t="shared" si="4"/>
        <v>6.8000000000000007</v>
      </c>
      <c r="T12">
        <f t="shared" si="5"/>
        <v>16.68</v>
      </c>
      <c r="V12">
        <f t="shared" si="6"/>
        <v>0.83250891270623639</v>
      </c>
      <c r="W12">
        <f t="shared" si="7"/>
        <v>1.2221960463017199</v>
      </c>
      <c r="X12">
        <f t="shared" si="8"/>
        <v>1.9169226121820611</v>
      </c>
      <c r="Y12">
        <f t="shared" si="9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0"/>
        <v>-1.4524341636244356</v>
      </c>
      <c r="AC12">
        <f t="shared" si="11"/>
        <v>3.0344721018699214</v>
      </c>
    </row>
    <row r="13" spans="6:29" ht="28.8" x14ac:dyDescent="0.3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S13">
        <f t="shared" si="4"/>
        <v>3</v>
      </c>
      <c r="T13">
        <f t="shared" si="5"/>
        <v>21.85</v>
      </c>
      <c r="V13">
        <f t="shared" si="6"/>
        <v>0.47712125471966244</v>
      </c>
      <c r="W13">
        <f t="shared" si="7"/>
        <v>1.3394514413064407</v>
      </c>
      <c r="X13">
        <f t="shared" si="8"/>
        <v>1.0986122886681098</v>
      </c>
      <c r="Y13">
        <f t="shared" si="9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0"/>
        <v>-1.1425641761972924</v>
      </c>
      <c r="AC13">
        <f t="shared" si="11"/>
        <v>3.3350575791576103</v>
      </c>
    </row>
    <row r="14" spans="6:29" ht="28.8" x14ac:dyDescent="0.3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S14">
        <f t="shared" si="4"/>
        <v>2</v>
      </c>
      <c r="T14">
        <f t="shared" si="5"/>
        <v>20.88</v>
      </c>
      <c r="V14">
        <f t="shared" si="6"/>
        <v>0.3010299956639812</v>
      </c>
      <c r="W14">
        <f t="shared" si="7"/>
        <v>1.3197304943302246</v>
      </c>
      <c r="X14">
        <f t="shared" si="8"/>
        <v>0.69314718055994529</v>
      </c>
      <c r="Y14">
        <f t="shared" si="9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0"/>
        <v>-1.4188175528254507</v>
      </c>
      <c r="AC14">
        <f t="shared" si="11"/>
        <v>3.2538567937634464</v>
      </c>
    </row>
    <row r="15" spans="6:29" ht="28.8" x14ac:dyDescent="0.3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S15">
        <f t="shared" si="4"/>
        <v>2</v>
      </c>
      <c r="T15">
        <f t="shared" si="5"/>
        <v>27.3</v>
      </c>
      <c r="V15">
        <f t="shared" si="6"/>
        <v>0.3010299956639812</v>
      </c>
      <c r="W15">
        <f t="shared" si="7"/>
        <v>1.436162647040756</v>
      </c>
      <c r="X15">
        <f t="shared" si="8"/>
        <v>0.69314718055994529</v>
      </c>
      <c r="Y15">
        <f t="shared" si="9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0"/>
        <v>-1.731605546408308</v>
      </c>
      <c r="AC15">
        <f t="shared" si="11"/>
        <v>3.4830845411343394</v>
      </c>
    </row>
    <row r="16" spans="6:29" ht="28.8" x14ac:dyDescent="0.3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S16">
        <f t="shared" si="4"/>
        <v>1.2</v>
      </c>
      <c r="T16">
        <f t="shared" si="5"/>
        <v>23.9</v>
      </c>
      <c r="V16">
        <f t="shared" si="6"/>
        <v>7.9181246047624818E-2</v>
      </c>
      <c r="W16">
        <f t="shared" si="7"/>
        <v>1.3783979009481377</v>
      </c>
      <c r="X16">
        <f t="shared" si="8"/>
        <v>0.18232155679395459</v>
      </c>
      <c r="Y16">
        <f t="shared" si="9"/>
        <v>3.1738784589374651</v>
      </c>
      <c r="Z16">
        <f t="shared" si="0"/>
        <v>0.223</v>
      </c>
      <c r="AA16">
        <f t="shared" si="1"/>
        <v>0.18232155679395459</v>
      </c>
      <c r="AB16">
        <f t="shared" si="10"/>
        <v>-1.5005835075220182</v>
      </c>
      <c r="AC16">
        <f t="shared" si="11"/>
        <v>3.3731407838796299</v>
      </c>
    </row>
    <row r="17" spans="6:29" x14ac:dyDescent="0.3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S17">
        <f t="shared" si="4"/>
        <v>1</v>
      </c>
      <c r="T17">
        <f t="shared" si="5"/>
        <v>29.22</v>
      </c>
      <c r="V17">
        <f t="shared" si="6"/>
        <v>0</v>
      </c>
      <c r="W17">
        <f t="shared" si="7"/>
        <v>1.4656802115982779</v>
      </c>
      <c r="X17">
        <f t="shared" si="8"/>
        <v>0</v>
      </c>
      <c r="Y17">
        <f t="shared" si="9"/>
        <v>3.3748534063225533</v>
      </c>
      <c r="Z17">
        <f t="shared" si="0"/>
        <v>0.15</v>
      </c>
      <c r="AA17">
        <f t="shared" si="1"/>
        <v>0</v>
      </c>
      <c r="AB17">
        <f t="shared" si="10"/>
        <v>-1.8971199848858813</v>
      </c>
      <c r="AC17">
        <f t="shared" si="11"/>
        <v>3.5319332036512097</v>
      </c>
    </row>
    <row r="18" spans="6:29" x14ac:dyDescent="0.3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S18">
        <f t="shared" si="4"/>
        <v>0.6</v>
      </c>
      <c r="T18">
        <f t="shared" si="5"/>
        <v>31.63</v>
      </c>
      <c r="V18">
        <f t="shared" si="6"/>
        <v>-0.22184874961635639</v>
      </c>
      <c r="W18">
        <f t="shared" si="7"/>
        <v>1.5000991919157229</v>
      </c>
      <c r="X18">
        <f t="shared" si="8"/>
        <v>-0.51082562376599072</v>
      </c>
      <c r="Y18">
        <f t="shared" si="9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0"/>
        <v>-1.8018098050815563</v>
      </c>
      <c r="AC18">
        <f t="shared" si="11"/>
        <v>3.6189933266497696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customXml/itemProps3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Victor Jetten</cp:lastModifiedBy>
  <dcterms:created xsi:type="dcterms:W3CDTF">2023-05-11T10:01:51Z</dcterms:created>
  <dcterms:modified xsi:type="dcterms:W3CDTF">2023-07-26T07:26:31Z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