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A57F3BFC-0CCF-4B26-8692-A643A184D888}" xr6:coauthVersionLast="47" xr6:coauthVersionMax="47" xr10:uidLastSave="{00000000-0000-0000-0000-000000000000}"/>
  <bookViews>
    <workbookView xWindow="-108" yWindow="-108" windowWidth="30936" windowHeight="16896" activeTab="2" xr2:uid="{EE7E3014-B43F-4E75-BCA9-657834F4F7B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8" i="3" l="1"/>
  <c r="Y6" i="3"/>
  <c r="O16" i="3"/>
  <c r="Y16" i="3" s="1"/>
  <c r="O15" i="3"/>
  <c r="Y15" i="3" s="1"/>
  <c r="O13" i="3"/>
  <c r="Y13" i="3" s="1"/>
  <c r="O12" i="3"/>
  <c r="Y12" i="3" s="1"/>
  <c r="O14" i="3"/>
  <c r="Y14" i="3" s="1"/>
  <c r="O11" i="3"/>
  <c r="Y11" i="3" s="1"/>
  <c r="O7" i="3"/>
  <c r="Y7" i="3" s="1"/>
  <c r="O8" i="3"/>
  <c r="Y8" i="3" s="1"/>
  <c r="O6" i="3"/>
  <c r="O9" i="3"/>
  <c r="Y9" i="3" s="1"/>
  <c r="O10" i="3"/>
  <c r="Y10" i="3" s="1"/>
  <c r="O17" i="3"/>
  <c r="Y17" i="3" s="1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32" i="3"/>
  <c r="W43" i="3"/>
  <c r="U46" i="3"/>
  <c r="V46" i="3" s="1"/>
  <c r="X7" i="3"/>
  <c r="X8" i="3"/>
  <c r="X9" i="3"/>
  <c r="X10" i="3"/>
  <c r="X11" i="3"/>
  <c r="X12" i="3"/>
  <c r="X13" i="3"/>
  <c r="X14" i="3"/>
  <c r="X15" i="3"/>
  <c r="X16" i="3"/>
  <c r="X17" i="3"/>
  <c r="X6" i="3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0" i="3"/>
  <c r="M10" i="3" s="1"/>
  <c r="L11" i="3"/>
  <c r="M11" i="3" s="1"/>
  <c r="L9" i="3"/>
  <c r="M9" i="3" s="1"/>
  <c r="L8" i="3"/>
  <c r="M8" i="3" s="1"/>
  <c r="L7" i="3"/>
  <c r="M7" i="3" s="1"/>
  <c r="L6" i="3"/>
  <c r="M6" i="3" s="1"/>
  <c r="G24" i="2"/>
  <c r="G25" i="2"/>
  <c r="G26" i="2"/>
  <c r="G27" i="2"/>
  <c r="G28" i="2"/>
  <c r="H28" i="2" s="1"/>
  <c r="I28" i="2" s="1"/>
  <c r="G29" i="2"/>
  <c r="H29" i="2" s="1"/>
  <c r="I29" i="2" s="1"/>
  <c r="G30" i="2"/>
  <c r="H30" i="2" s="1"/>
  <c r="I30" i="2" s="1"/>
  <c r="G31" i="2"/>
  <c r="H31" i="2" s="1"/>
  <c r="I31" i="2" s="1"/>
  <c r="G32" i="2"/>
  <c r="H32" i="2" s="1"/>
  <c r="I32" i="2" s="1"/>
  <c r="H24" i="2"/>
  <c r="I24" i="2" s="1"/>
  <c r="H25" i="2"/>
  <c r="I25" i="2" s="1"/>
  <c r="H26" i="2"/>
  <c r="I26" i="2" s="1"/>
  <c r="H27" i="2"/>
  <c r="I27" i="2" s="1"/>
  <c r="E32" i="2"/>
  <c r="F32" i="2"/>
  <c r="E26" i="2"/>
  <c r="F26" i="2"/>
  <c r="E27" i="2"/>
  <c r="F27" i="2"/>
  <c r="E28" i="2"/>
  <c r="F28" i="2"/>
  <c r="E29" i="2"/>
  <c r="F29" i="2" s="1"/>
  <c r="E25" i="2"/>
  <c r="F25" i="2"/>
  <c r="F24" i="2"/>
  <c r="X20" i="2"/>
  <c r="U20" i="2"/>
  <c r="W20" i="2" s="1"/>
  <c r="T20" i="2"/>
  <c r="S20" i="2"/>
  <c r="R20" i="2"/>
  <c r="O20" i="2"/>
  <c r="N20" i="2"/>
  <c r="V20" i="2" s="1"/>
  <c r="M20" i="2"/>
  <c r="C20" i="2"/>
  <c r="B20" i="2"/>
  <c r="X19" i="2"/>
  <c r="W19" i="2"/>
  <c r="V19" i="2"/>
  <c r="U19" i="2"/>
  <c r="T19" i="2"/>
  <c r="S19" i="2"/>
  <c r="R19" i="2"/>
  <c r="Q19" i="2"/>
  <c r="O19" i="2"/>
  <c r="N19" i="2"/>
  <c r="M19" i="2"/>
  <c r="B19" i="2"/>
  <c r="C19" i="2" s="1"/>
  <c r="X18" i="2"/>
  <c r="V18" i="2"/>
  <c r="U18" i="2"/>
  <c r="W18" i="2" s="1"/>
  <c r="S18" i="2"/>
  <c r="Q18" i="2"/>
  <c r="O18" i="2"/>
  <c r="R18" i="2" s="1"/>
  <c r="N18" i="2"/>
  <c r="M18" i="2"/>
  <c r="B18" i="2"/>
  <c r="C18" i="2" s="1"/>
  <c r="X17" i="2"/>
  <c r="V17" i="2"/>
  <c r="U17" i="2"/>
  <c r="W17" i="2" s="1"/>
  <c r="S17" i="2"/>
  <c r="Q17" i="2"/>
  <c r="O17" i="2"/>
  <c r="T17" i="2" s="1"/>
  <c r="N17" i="2"/>
  <c r="M17" i="2"/>
  <c r="B17" i="2"/>
  <c r="C17" i="2" s="1"/>
  <c r="X16" i="2"/>
  <c r="U16" i="2"/>
  <c r="W16" i="2" s="1"/>
  <c r="T16" i="2"/>
  <c r="S16" i="2"/>
  <c r="Q16" i="2"/>
  <c r="O16" i="2"/>
  <c r="R16" i="2" s="1"/>
  <c r="N16" i="2"/>
  <c r="V16" i="2" s="1"/>
  <c r="M16" i="2"/>
  <c r="B16" i="2"/>
  <c r="C16" i="2" s="1"/>
  <c r="X15" i="2"/>
  <c r="W15" i="2"/>
  <c r="U15" i="2"/>
  <c r="T15" i="2"/>
  <c r="S15" i="2"/>
  <c r="R15" i="2"/>
  <c r="Q15" i="2"/>
  <c r="O15" i="2"/>
  <c r="N15" i="2"/>
  <c r="V15" i="2" s="1"/>
  <c r="M15" i="2"/>
  <c r="B15" i="2"/>
  <c r="C15" i="2" s="1"/>
  <c r="X14" i="2"/>
  <c r="W14" i="2"/>
  <c r="U14" i="2"/>
  <c r="S14" i="2"/>
  <c r="Q14" i="2"/>
  <c r="O14" i="2"/>
  <c r="T14" i="2" s="1"/>
  <c r="N14" i="2"/>
  <c r="V14" i="2" s="1"/>
  <c r="M14" i="2"/>
  <c r="B14" i="2"/>
  <c r="C14" i="2" s="1"/>
  <c r="X13" i="2"/>
  <c r="W13" i="2"/>
  <c r="V13" i="2"/>
  <c r="U13" i="2"/>
  <c r="S13" i="2"/>
  <c r="Q13" i="2"/>
  <c r="O13" i="2"/>
  <c r="T13" i="2" s="1"/>
  <c r="N13" i="2"/>
  <c r="M13" i="2"/>
  <c r="B13" i="2"/>
  <c r="C13" i="2" s="1"/>
  <c r="X12" i="2"/>
  <c r="V12" i="2"/>
  <c r="U12" i="2"/>
  <c r="W12" i="2" s="1"/>
  <c r="S12" i="2"/>
  <c r="Q12" i="2"/>
  <c r="O12" i="2"/>
  <c r="R12" i="2" s="1"/>
  <c r="N12" i="2"/>
  <c r="M12" i="2"/>
  <c r="B12" i="2"/>
  <c r="C12" i="2" s="1"/>
  <c r="X11" i="2"/>
  <c r="U11" i="2"/>
  <c r="W11" i="2" s="1"/>
  <c r="T11" i="2"/>
  <c r="S11" i="2"/>
  <c r="R11" i="2"/>
  <c r="Q11" i="2"/>
  <c r="O11" i="2"/>
  <c r="N11" i="2"/>
  <c r="V11" i="2" s="1"/>
  <c r="M11" i="2"/>
  <c r="B11" i="2"/>
  <c r="C11" i="2" s="1"/>
  <c r="X10" i="2"/>
  <c r="W10" i="2"/>
  <c r="U10" i="2"/>
  <c r="T10" i="2"/>
  <c r="S10" i="2"/>
  <c r="R10" i="2"/>
  <c r="Q10" i="2"/>
  <c r="O10" i="2"/>
  <c r="N10" i="2"/>
  <c r="V10" i="2" s="1"/>
  <c r="M10" i="2"/>
  <c r="B10" i="2"/>
  <c r="C10" i="2" s="1"/>
  <c r="G8" i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W46" i="3" l="1"/>
  <c r="X46" i="3" s="1"/>
  <c r="E30" i="2"/>
  <c r="R13" i="2"/>
  <c r="T18" i="2"/>
  <c r="R14" i="2"/>
  <c r="R17" i="2"/>
  <c r="T12" i="2"/>
  <c r="Q20" i="2"/>
  <c r="X12" i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  <c r="F30" i="2" l="1"/>
  <c r="E31" i="2"/>
  <c r="F31" i="2" s="1"/>
</calcChain>
</file>

<file path=xl/sharedStrings.xml><?xml version="1.0" encoding="utf-8"?>
<sst xmlns="http://schemas.openxmlformats.org/spreadsheetml/2006/main" count="160" uniqueCount="80">
  <si>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</si>
  <si>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</si>
  <si>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</si>
  <si>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</si>
  <si>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</si>
  <si>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</si>
  <si>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</si>
  <si>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</si>
  <si>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</si>
  <si>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</si>
  <si>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</si>
  <si>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</si>
  <si>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</si>
  <si>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</si>
  <si>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</si>
  <si>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</si>
  <si>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</si>
  <si>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</si>
  <si>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</si>
  <si>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</si>
  <si>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</si>
  <si>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</si>
  <si>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</si>
  <si>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</si>
  <si>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</si>
  <si>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</si>
  <si>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</si>
  <si>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</si>
  <si>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</si>
  <si>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</si>
  <si>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</si>
  <si>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</si>
  <si>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</si>
  <si>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</si>
  <si>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</si>
  <si>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</si>
  <si>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</si>
  <si>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</si>
  <si>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</si>
  <si>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</si>
  <si>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</si>
  <si>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</si>
  <si>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</si>
  <si>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</si>
  <si>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</si>
  <si>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</si>
  <si>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</si>
  <si>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</si>
  <si>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</si>
  <si>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</si>
  <si>
    <t>se</t>
  </si>
  <si>
    <t>h (cm)</t>
  </si>
  <si>
    <t>pF</t>
  </si>
  <si>
    <t>van genuchten</t>
  </si>
  <si>
    <t>alpha</t>
  </si>
  <si>
    <t>n</t>
  </si>
  <si>
    <t>Ks</t>
  </si>
  <si>
    <t>cm/min</t>
  </si>
  <si>
    <t>SiC</t>
  </si>
  <si>
    <t>SiCL</t>
  </si>
  <si>
    <t>SC</t>
  </si>
  <si>
    <t>C</t>
  </si>
  <si>
    <t>CL</t>
  </si>
  <si>
    <t>Si</t>
  </si>
  <si>
    <t>L</t>
  </si>
  <si>
    <t>SiL</t>
  </si>
  <si>
    <t>SCL</t>
  </si>
  <si>
    <t>SL</t>
  </si>
  <si>
    <t>LS</t>
  </si>
  <si>
    <t>S</t>
  </si>
  <si>
    <t>Silt</t>
  </si>
  <si>
    <t>m</t>
  </si>
  <si>
    <t>a</t>
  </si>
  <si>
    <t>pore</t>
  </si>
  <si>
    <t>tr</t>
  </si>
  <si>
    <t>1/cm !!!</t>
  </si>
  <si>
    <t>1/m</t>
  </si>
  <si>
    <t>1/se</t>
  </si>
  <si>
    <t>(m)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</si>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</sst>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11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/>
    <xf numFmtId="0" fontId="0" fillId="2" borderId="1" xfId="0" applyFill="1" applyBorder="1" applyAlignment="1"/>
    <xf numFmtId="0" fontId="0" fillId="2" borderId="2" xfId="0" applyFill="1" applyBorder="1" applyAlignment="1"/>
    <xf numFmtId="0" fontId="0" fillId="0" borderId="0" xfId="0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alpha=f(ks)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7611351706036746"/>
                  <c:y val="0.144406532516768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Sheet3!$Y$6:$Y$17</c:f>
              <c:numCache>
                <c:formatCode>General</c:formatCode>
                <c:ptCount val="12"/>
                <c:pt idx="0">
                  <c:v>5.0000000000000002E-5</c:v>
                </c:pt>
                <c:pt idx="1">
                  <c:v>1E-4</c:v>
                </c:pt>
                <c:pt idx="2">
                  <c:v>2.7E-4</c:v>
                </c:pt>
                <c:pt idx="3">
                  <c:v>8.0000000000000007E-5</c:v>
                </c:pt>
                <c:pt idx="4">
                  <c:v>1.6000000000000001E-4</c:v>
                </c:pt>
                <c:pt idx="5">
                  <c:v>1.9000000000000001E-4</c:v>
                </c:pt>
                <c:pt idx="6">
                  <c:v>2.0000000000000001E-4</c:v>
                </c:pt>
                <c:pt idx="7">
                  <c:v>3.5999999999999997E-4</c:v>
                </c:pt>
                <c:pt idx="8">
                  <c:v>5.9000000000000003E-4</c:v>
                </c:pt>
                <c:pt idx="9">
                  <c:v>7.5000000000000002E-4</c:v>
                </c:pt>
                <c:pt idx="10">
                  <c:v>1.24E-3</c:v>
                </c:pt>
                <c:pt idx="11">
                  <c:v>1.4499999999999999E-3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D0-444C-BE84-28434B356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12928"/>
        <c:axId val="1103225408"/>
      </c:scatterChart>
      <c:valAx>
        <c:axId val="110321292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5408"/>
        <c:crosses val="autoZero"/>
        <c:crossBetween val="midCat"/>
      </c:valAx>
      <c:valAx>
        <c:axId val="110322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1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19737751531058617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Sheet3!$Z$6:$Z$17</c:f>
              <c:numCache>
                <c:formatCode>General</c:formatCode>
                <c:ptCount val="12"/>
                <c:pt idx="0">
                  <c:v>2.68</c:v>
                </c:pt>
                <c:pt idx="1">
                  <c:v>2.2799999999999998</c:v>
                </c:pt>
                <c:pt idx="2">
                  <c:v>1.89</c:v>
                </c:pt>
                <c:pt idx="3">
                  <c:v>1.56</c:v>
                </c:pt>
                <c:pt idx="4">
                  <c:v>1.41</c:v>
                </c:pt>
                <c:pt idx="5">
                  <c:v>1.48</c:v>
                </c:pt>
                <c:pt idx="6">
                  <c:v>1.31</c:v>
                </c:pt>
                <c:pt idx="7">
                  <c:v>1.23</c:v>
                </c:pt>
                <c:pt idx="8">
                  <c:v>1.23</c:v>
                </c:pt>
                <c:pt idx="9">
                  <c:v>1.0900000000000001</c:v>
                </c:pt>
                <c:pt idx="10">
                  <c:v>1.0900000000000001</c:v>
                </c:pt>
                <c:pt idx="11">
                  <c:v>1.37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0-49C3-9B8B-4E5EC1AB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27808"/>
        <c:axId val="1103228768"/>
      </c:scatterChart>
      <c:valAx>
        <c:axId val="1103227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8768"/>
        <c:crosses val="autoZero"/>
        <c:crossBetween val="midCat"/>
      </c:valAx>
      <c:valAx>
        <c:axId val="11032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2.6088801399825022E-2"/>
                  <c:y val="-0.535323344998541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Sheet3!$M$32:$M$44</c:f>
              <c:numCache>
                <c:formatCode>General</c:formatCode>
                <c:ptCount val="13"/>
                <c:pt idx="0">
                  <c:v>5.09</c:v>
                </c:pt>
                <c:pt idx="1">
                  <c:v>4.9800000000000004</c:v>
                </c:pt>
                <c:pt idx="2">
                  <c:v>2.5499999999999998</c:v>
                </c:pt>
                <c:pt idx="3">
                  <c:v>2.08</c:v>
                </c:pt>
                <c:pt idx="4">
                  <c:v>1.5</c:v>
                </c:pt>
                <c:pt idx="5">
                  <c:v>1.27</c:v>
                </c:pt>
                <c:pt idx="6">
                  <c:v>1.5</c:v>
                </c:pt>
                <c:pt idx="7">
                  <c:v>2.4300000000000002</c:v>
                </c:pt>
                <c:pt idx="8">
                  <c:v>1.97</c:v>
                </c:pt>
                <c:pt idx="9">
                  <c:v>2.08</c:v>
                </c:pt>
                <c:pt idx="10">
                  <c:v>1.04</c:v>
                </c:pt>
                <c:pt idx="11">
                  <c:v>1.5</c:v>
                </c:pt>
                <c:pt idx="12">
                  <c:v>1.62</c:v>
                </c:pt>
              </c:numCache>
            </c:numRef>
          </c:xVal>
          <c:yVal>
            <c:numRef>
              <c:f>Sheet3!$N$32:$N$44</c:f>
              <c:numCache>
                <c:formatCode>General</c:formatCode>
                <c:ptCount val="13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6.0000000000000001E-3</c:v>
                </c:pt>
                <c:pt idx="4">
                  <c:v>7.0000000000000001E-3</c:v>
                </c:pt>
                <c:pt idx="5">
                  <c:v>8.0000000000000002E-3</c:v>
                </c:pt>
                <c:pt idx="6">
                  <c:v>0.01</c:v>
                </c:pt>
                <c:pt idx="7">
                  <c:v>1.4999999999999999E-2</c:v>
                </c:pt>
                <c:pt idx="8">
                  <c:v>0.02</c:v>
                </c:pt>
                <c:pt idx="9">
                  <c:v>1.7999999999999999E-2</c:v>
                </c:pt>
                <c:pt idx="10">
                  <c:v>2.4E-2</c:v>
                </c:pt>
                <c:pt idx="11">
                  <c:v>2.7E-2</c:v>
                </c:pt>
                <c:pt idx="12">
                  <c:v>2.5000000000000001E-2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B-4EF6-A3C1-C1EF0B688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19487"/>
        <c:axId val="569332447"/>
      </c:scatterChart>
      <c:valAx>
        <c:axId val="569319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2447"/>
        <c:crosses val="autoZero"/>
        <c:crossBetween val="midCat"/>
      </c:valAx>
      <c:valAx>
        <c:axId val="56933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19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1903827646544183"/>
                  <c:y val="-2.356481481481481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Sheet3!$M$6:$M$17</c:f>
              <c:numCache>
                <c:formatCode>General</c:formatCode>
                <c:ptCount val="12"/>
                <c:pt idx="0">
                  <c:v>-1.7147984280919266</c:v>
                </c:pt>
                <c:pt idx="1">
                  <c:v>-0.3285040669720361</c:v>
                </c:pt>
                <c:pt idx="2">
                  <c:v>0.18232155679395459</c:v>
                </c:pt>
                <c:pt idx="3">
                  <c:v>0.68309684470644383</c:v>
                </c:pt>
                <c:pt idx="4">
                  <c:v>0.9242589015233319</c:v>
                </c:pt>
                <c:pt idx="5">
                  <c:v>0.94778939893352609</c:v>
                </c:pt>
                <c:pt idx="6">
                  <c:v>1.5040773967762742</c:v>
                </c:pt>
                <c:pt idx="7">
                  <c:v>2.3398808777377424</c:v>
                </c:pt>
                <c:pt idx="8">
                  <c:v>2.5710843460290524</c:v>
                </c:pt>
                <c:pt idx="9">
                  <c:v>3.7891771754293</c:v>
                </c:pt>
                <c:pt idx="10">
                  <c:v>4.9830585263260208</c:v>
                </c:pt>
                <c:pt idx="11">
                  <c:v>5.6937321388026998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7-4E1D-A122-B61462B04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23807"/>
        <c:axId val="569330527"/>
      </c:scatterChart>
      <c:valAx>
        <c:axId val="569323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0527"/>
        <c:crosses val="autoZero"/>
        <c:crossBetween val="midCat"/>
      </c:valAx>
      <c:valAx>
        <c:axId val="56933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2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2202974628171477"/>
                  <c:y val="-2.808034412365120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Sheet3!$L$6:$L$17</c:f>
              <c:numCache>
                <c:formatCode>General</c:formatCode>
                <c:ptCount val="12"/>
                <c:pt idx="0">
                  <c:v>0.18</c:v>
                </c:pt>
                <c:pt idx="1">
                  <c:v>0.72</c:v>
                </c:pt>
                <c:pt idx="2">
                  <c:v>1.2</c:v>
                </c:pt>
                <c:pt idx="3">
                  <c:v>1.98</c:v>
                </c:pt>
                <c:pt idx="4">
                  <c:v>2.52</c:v>
                </c:pt>
                <c:pt idx="5">
                  <c:v>2.58</c:v>
                </c:pt>
                <c:pt idx="6">
                  <c:v>4.5</c:v>
                </c:pt>
                <c:pt idx="7">
                  <c:v>10.379999999999999</c:v>
                </c:pt>
                <c:pt idx="8">
                  <c:v>13.08</c:v>
                </c:pt>
                <c:pt idx="9">
                  <c:v>44.22</c:v>
                </c:pt>
                <c:pt idx="10">
                  <c:v>145.91999999999999</c:v>
                </c:pt>
                <c:pt idx="11">
                  <c:v>297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0-4823-BC7D-6C74B78CC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560303"/>
        <c:axId val="349756831"/>
      </c:scatterChart>
      <c:valAx>
        <c:axId val="26256030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756831"/>
        <c:crosses val="autoZero"/>
        <c:crossBetween val="midCat"/>
      </c:valAx>
      <c:valAx>
        <c:axId val="34975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6256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4.xml"/><Relationship Id="rId2" Type="http://schemas.openxmlformats.org/officeDocument/2006/relationships/chart" Target="../charts/chart10.xml"/><Relationship Id="rId1" Type="http://schemas.openxmlformats.org/officeDocument/2006/relationships/image" Target="../media/image2.jpeg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8</xdr:col>
      <xdr:colOff>171450</xdr:colOff>
      <xdr:row>6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4A53B66-7A1C-4A1A-8217-A5F893DBF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457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171450</xdr:colOff>
      <xdr:row>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A770EF-5604-4F6C-ABD4-AB367F984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745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561975</xdr:colOff>
      <xdr:row>9</xdr:row>
      <xdr:rowOff>19050</xdr:rowOff>
    </xdr:from>
    <xdr:to>
      <xdr:col>8</xdr:col>
      <xdr:colOff>200025</xdr:colOff>
      <xdr:row>27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AF0E3-B664-4676-A09A-A422FDE1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1733550"/>
          <a:ext cx="4514850" cy="351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278130</xdr:colOff>
      <xdr:row>24</xdr:row>
      <xdr:rowOff>10477</xdr:rowOff>
    </xdr:from>
    <xdr:to>
      <xdr:col>16</xdr:col>
      <xdr:colOff>11430</xdr:colOff>
      <xdr:row>38</xdr:row>
      <xdr:rowOff>79057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F41F72-D9D4-3AD9-1F3B-7A2DD2275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1376362</xdr:colOff>
      <xdr:row>18</xdr:row>
      <xdr:rowOff>23812</xdr:rowOff>
    </xdr:from>
    <xdr:to>
      <xdr:col>22</xdr:col>
      <xdr:colOff>566737</xdr:colOff>
      <xdr:row>32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BAA864-B541-61DC-EDCD-6F1681F55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175260</xdr:colOff>
      <xdr:row>30</xdr:row>
      <xdr:rowOff>7620</xdr:rowOff>
    </xdr:from>
    <xdr:to>
      <xdr:col>11</xdr:col>
      <xdr:colOff>394335</xdr:colOff>
      <xdr:row>44</xdr:row>
      <xdr:rowOff>159796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AE594E-89CA-B582-D8F1-879427A2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4460" y="5494020"/>
          <a:ext cx="5705475" cy="27124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30480</xdr:colOff>
      <xdr:row>47</xdr:row>
      <xdr:rowOff>60960</xdr:rowOff>
    </xdr:from>
    <xdr:to>
      <xdr:col>11</xdr:col>
      <xdr:colOff>335280</xdr:colOff>
      <xdr:row>62</xdr:row>
      <xdr:rowOff>60960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FD8794-79D3-27AE-3F26-F3A4E53938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228600</xdr:colOff>
      <xdr:row>18</xdr:row>
      <xdr:rowOff>76200</xdr:rowOff>
    </xdr:from>
    <xdr:to>
      <xdr:col>31</xdr:col>
      <xdr:colOff>533400</xdr:colOff>
      <xdr:row>33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E383A6-2531-5264-3FF8-5EC5631F7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15240</xdr:colOff>
      <xdr:row>5</xdr:row>
      <xdr:rowOff>144780</xdr:rowOff>
    </xdr:from>
    <xdr:to>
      <xdr:col>23</xdr:col>
      <xdr:colOff>571500</xdr:colOff>
      <xdr:row>20</xdr:row>
      <xdr:rowOff>144780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C3F932-90E7-FC04-E959-ADF54D1CC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opLeftCell="E9" workbookViewId="0">
      <selection activeCell="F4" sqref="F4:F6"/>
    </sheetView>
  </sheetViews>
  <sheetFormatPr defaultRowHeight="14.4" x14ac:dyDescent="0.3"/>
  <cols>
    <col min="6" max="6" width="31.109375" customWidth="1"/>
    <col min="8" max="8" width="12.109375" bestFit="1" customWidth="1"/>
  </cols>
  <sheetData>
    <row r="1" spans="6:29" x14ac:dyDescent="0.3">
      <c r="F1" s="4" t="s">
        <v>34</v>
      </c>
      <c r="G1" s="4"/>
      <c r="H1" s="4"/>
    </row>
    <row r="3" spans="6:29" x14ac:dyDescent="0.3">
      <c r="F3" s="5" t="s">
        <v>41</v>
      </c>
      <c r="G3" s="5"/>
      <c r="H3" s="5"/>
    </row>
    <row r="4" spans="6:29" ht="129.6" x14ac:dyDescent="0.3">
      <c r="F4" s="13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5.6" x14ac:dyDescent="0.3">
      <c r="F5" s="13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5" x14ac:dyDescent="0.3">
      <c r="F6" s="13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3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3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x14ac:dyDescent="0.3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x14ac:dyDescent="0.3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3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3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x14ac:dyDescent="0.3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x14ac:dyDescent="0.3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x14ac:dyDescent="0.3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x14ac:dyDescent="0.3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3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3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3">
      <c r="AA50" s="12">
        <v>1000</v>
      </c>
    </row>
    <row r="51" spans="27:27" x14ac:dyDescent="0.3">
      <c r="AA51">
        <f>LN(AA50)</f>
        <v>6.9077552789821368</v>
      </c>
    </row>
    <row r="52" spans="27:27" x14ac:dyDescent="0.3">
      <c r="AA52">
        <f>AA51*-0.238</f>
        <v>-1.6440457563977484</v>
      </c>
    </row>
    <row r="53" spans="27:27" x14ac:dyDescent="0.3">
      <c r="AA53">
        <f>EXP(AA52)</f>
        <v>0.19319683170169244</v>
      </c>
    </row>
    <row r="54" spans="27:27" x14ac:dyDescent="0.3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24C5-C479-47D4-9617-6832BA07E0D5}">
  <dimension ref="A1:X32"/>
  <sheetViews>
    <sheetView workbookViewId="0">
      <selection activeCell="G24" sqref="G24"/>
    </sheetView>
  </sheetViews>
  <sheetFormatPr defaultRowHeight="14.4" x14ac:dyDescent="0.3"/>
  <cols>
    <col min="1" max="1" width="21.5546875" customWidth="1"/>
  </cols>
  <sheetData>
    <row r="1" spans="1:24" ht="15" customHeight="1" x14ac:dyDescent="0.3"/>
    <row r="2" spans="1:24" ht="15" customHeight="1" x14ac:dyDescent="0.3"/>
    <row r="3" spans="1:24" ht="15" customHeight="1" x14ac:dyDescent="0.3"/>
    <row r="4" spans="1:24" ht="15" customHeight="1" x14ac:dyDescent="0.3"/>
    <row r="5" spans="1:24" ht="15" customHeight="1" x14ac:dyDescent="0.3">
      <c r="B5" s="5"/>
      <c r="C5" s="5"/>
    </row>
    <row r="6" spans="1:24" ht="79.95" customHeight="1" x14ac:dyDescent="0.3">
      <c r="B6" s="2" t="s">
        <v>42</v>
      </c>
      <c r="C6" s="2"/>
      <c r="D6" s="2" t="s">
        <v>12</v>
      </c>
      <c r="E6" s="2" t="s">
        <v>15</v>
      </c>
      <c r="F6" s="2" t="s">
        <v>17</v>
      </c>
      <c r="G6" s="2" t="s">
        <v>19</v>
      </c>
      <c r="H6" s="2" t="s">
        <v>21</v>
      </c>
      <c r="I6" s="2" t="s">
        <v>23</v>
      </c>
      <c r="J6" s="2" t="s">
        <v>26</v>
      </c>
      <c r="K6" s="2" t="s">
        <v>29</v>
      </c>
      <c r="L6" s="2" t="s">
        <v>32</v>
      </c>
    </row>
    <row r="7" spans="1:24" ht="38.4" customHeight="1" x14ac:dyDescent="0.3">
      <c r="B7" s="2"/>
      <c r="C7" s="2"/>
      <c r="D7" s="2" t="s">
        <v>13</v>
      </c>
      <c r="E7" s="2" t="s">
        <v>16</v>
      </c>
      <c r="F7" s="2" t="s">
        <v>18</v>
      </c>
      <c r="G7" s="2" t="s">
        <v>20</v>
      </c>
      <c r="H7" s="2" t="s">
        <v>22</v>
      </c>
      <c r="I7" s="3" t="s">
        <v>24</v>
      </c>
      <c r="J7" s="2" t="s">
        <v>27</v>
      </c>
      <c r="K7" s="2" t="s">
        <v>30</v>
      </c>
      <c r="L7" s="3" t="s">
        <v>33</v>
      </c>
    </row>
    <row r="8" spans="1:24" ht="42" customHeight="1" x14ac:dyDescent="0.3">
      <c r="B8" s="2"/>
      <c r="C8" s="2"/>
      <c r="D8" s="2" t="s">
        <v>14</v>
      </c>
      <c r="E8" s="2" t="s">
        <v>14</v>
      </c>
      <c r="F8" s="2" t="s">
        <v>14</v>
      </c>
      <c r="G8" s="2" t="s">
        <v>14</v>
      </c>
      <c r="H8" s="2" t="s">
        <v>14</v>
      </c>
      <c r="I8" s="2" t="s">
        <v>25</v>
      </c>
      <c r="J8" s="2" t="s">
        <v>28</v>
      </c>
      <c r="K8" s="2" t="s">
        <v>31</v>
      </c>
      <c r="L8" s="2" t="s">
        <v>25</v>
      </c>
      <c r="M8" s="2" t="s">
        <v>49</v>
      </c>
      <c r="N8" s="2" t="s">
        <v>35</v>
      </c>
      <c r="O8" s="2" t="s">
        <v>37</v>
      </c>
      <c r="P8" s="2"/>
      <c r="Q8" s="2" t="s">
        <v>39</v>
      </c>
      <c r="R8" s="2" t="s">
        <v>40</v>
      </c>
      <c r="S8" s="2" t="s">
        <v>44</v>
      </c>
      <c r="T8" s="2" t="s">
        <v>47</v>
      </c>
      <c r="U8" s="2" t="s">
        <v>45</v>
      </c>
      <c r="V8" s="2" t="s">
        <v>44</v>
      </c>
      <c r="W8" s="2" t="s">
        <v>46</v>
      </c>
      <c r="X8" s="2" t="s">
        <v>48</v>
      </c>
    </row>
    <row r="9" spans="1:24" ht="15" customHeight="1" x14ac:dyDescent="0.3">
      <c r="B9" s="6" t="s">
        <v>43</v>
      </c>
      <c r="C9" s="7" t="s">
        <v>44</v>
      </c>
      <c r="N9" t="s">
        <v>36</v>
      </c>
      <c r="O9" t="s">
        <v>38</v>
      </c>
    </row>
    <row r="10" spans="1:24" ht="15" customHeight="1" x14ac:dyDescent="0.3">
      <c r="A10" s="1" t="s">
        <v>0</v>
      </c>
      <c r="B10" s="8">
        <f>K10*10</f>
        <v>235.6</v>
      </c>
      <c r="C10" s="10">
        <f>LN(B10)</f>
        <v>5.4621354517774314</v>
      </c>
      <c r="D10" s="2">
        <v>0.437</v>
      </c>
      <c r="E10" s="2">
        <v>0.41699999999999998</v>
      </c>
      <c r="F10" s="2">
        <v>9.0999999999999998E-2</v>
      </c>
      <c r="G10" s="2">
        <v>3.3000000000000002E-2</v>
      </c>
      <c r="H10" s="2">
        <v>0.02</v>
      </c>
      <c r="I10" s="2">
        <v>7.26</v>
      </c>
      <c r="J10" s="2">
        <v>0.69399999999999995</v>
      </c>
      <c r="K10" s="2">
        <v>23.56</v>
      </c>
      <c r="L10" s="2">
        <v>4.95</v>
      </c>
      <c r="M10">
        <f>LN(H10)</f>
        <v>-3.912023005428146</v>
      </c>
      <c r="N10">
        <f>K10*10</f>
        <v>235.6</v>
      </c>
      <c r="O10">
        <f>L10</f>
        <v>4.95</v>
      </c>
      <c r="Q10">
        <f>LOG(N10)</f>
        <v>2.372175286115064</v>
      </c>
      <c r="R10">
        <f>LOG(O10)</f>
        <v>0.69460519893356876</v>
      </c>
      <c r="S10">
        <f>LN(N10)</f>
        <v>5.4621354517774314</v>
      </c>
      <c r="T10">
        <f>LN(O10)</f>
        <v>1.5993875765805989</v>
      </c>
      <c r="U10">
        <f t="shared" ref="U10:U20" si="0">J10</f>
        <v>0.69399999999999995</v>
      </c>
      <c r="V10">
        <f t="shared" ref="V10:V20" si="1">LN(N10)</f>
        <v>5.4621354517774314</v>
      </c>
      <c r="W10">
        <f>LN(U10)</f>
        <v>-0.36528331847533263</v>
      </c>
      <c r="X10">
        <f>LN(I10)</f>
        <v>1.9823798288367047</v>
      </c>
    </row>
    <row r="11" spans="1:24" ht="15" customHeight="1" x14ac:dyDescent="0.3">
      <c r="A11" s="1" t="s">
        <v>1</v>
      </c>
      <c r="B11" s="8">
        <f t="shared" ref="B11:B20" si="2">K11*10</f>
        <v>59.800000000000004</v>
      </c>
      <c r="C11" s="10">
        <f t="shared" ref="C11:C20" si="3">LN(B11)</f>
        <v>4.0910056609565864</v>
      </c>
      <c r="D11" s="2">
        <v>0.437</v>
      </c>
      <c r="E11" s="2">
        <v>0.40100000000000002</v>
      </c>
      <c r="F11" s="2">
        <v>0.125</v>
      </c>
      <c r="G11" s="2">
        <v>5.5E-2</v>
      </c>
      <c r="H11" s="2">
        <v>3.5000000000000003E-2</v>
      </c>
      <c r="I11" s="2">
        <v>8.69</v>
      </c>
      <c r="J11" s="2">
        <v>0.55300000000000005</v>
      </c>
      <c r="K11" s="2">
        <v>5.98</v>
      </c>
      <c r="L11" s="2">
        <v>6.13</v>
      </c>
      <c r="M11">
        <f t="shared" ref="M11:M20" si="4">LN(H11)</f>
        <v>-3.3524072174927233</v>
      </c>
      <c r="N11">
        <f t="shared" ref="N11:N20" si="5">K11*10</f>
        <v>59.800000000000004</v>
      </c>
      <c r="O11">
        <f t="shared" ref="O11:O20" si="6">L11</f>
        <v>6.13</v>
      </c>
      <c r="Q11">
        <f t="shared" ref="Q11:R20" si="7">LOG(N11)</f>
        <v>1.7767011839884108</v>
      </c>
      <c r="R11">
        <f t="shared" si="7"/>
        <v>0.78746047451841505</v>
      </c>
      <c r="S11">
        <f t="shared" ref="S11:T20" si="8">LN(N11)</f>
        <v>4.0910056609565864</v>
      </c>
      <c r="T11">
        <f t="shared" si="8"/>
        <v>1.81319474994812</v>
      </c>
      <c r="U11">
        <f t="shared" si="0"/>
        <v>0.55300000000000005</v>
      </c>
      <c r="V11">
        <f t="shared" si="1"/>
        <v>4.0910056609565864</v>
      </c>
      <c r="W11">
        <f t="shared" ref="W11:W20" si="9">LN(U11)</f>
        <v>-0.5923972774598022</v>
      </c>
      <c r="X11">
        <f t="shared" ref="X11:X20" si="10">LN(I11)</f>
        <v>2.1621729392773008</v>
      </c>
    </row>
    <row r="12" spans="1:24" ht="15" customHeight="1" x14ac:dyDescent="0.3">
      <c r="A12" s="1" t="s">
        <v>2</v>
      </c>
      <c r="B12" s="8">
        <f t="shared" si="2"/>
        <v>21.8</v>
      </c>
      <c r="C12" s="10">
        <f t="shared" si="3"/>
        <v>3.0819099697950434</v>
      </c>
      <c r="D12" s="2">
        <v>0.45300000000000001</v>
      </c>
      <c r="E12" s="2">
        <v>0.41199999999999998</v>
      </c>
      <c r="F12" s="2">
        <v>0.20699999999999999</v>
      </c>
      <c r="G12" s="2">
        <v>9.5000000000000001E-2</v>
      </c>
      <c r="H12" s="2">
        <v>4.1000000000000002E-2</v>
      </c>
      <c r="I12" s="2">
        <v>14.66</v>
      </c>
      <c r="J12" s="2">
        <v>0.378</v>
      </c>
      <c r="K12" s="2">
        <v>2.1800000000000002</v>
      </c>
      <c r="L12" s="2">
        <v>11.01</v>
      </c>
      <c r="M12">
        <f t="shared" si="4"/>
        <v>-3.1941832122778293</v>
      </c>
      <c r="N12">
        <f t="shared" si="5"/>
        <v>21.8</v>
      </c>
      <c r="O12">
        <f t="shared" si="6"/>
        <v>11.01</v>
      </c>
      <c r="Q12">
        <f t="shared" si="7"/>
        <v>1.3384564936046048</v>
      </c>
      <c r="R12">
        <f t="shared" si="7"/>
        <v>1.0417873189717517</v>
      </c>
      <c r="S12">
        <f t="shared" si="8"/>
        <v>3.0819099697950434</v>
      </c>
      <c r="T12">
        <f t="shared" si="8"/>
        <v>2.3988039507345884</v>
      </c>
      <c r="U12">
        <f t="shared" si="0"/>
        <v>0.378</v>
      </c>
      <c r="V12">
        <f t="shared" si="1"/>
        <v>3.0819099697950434</v>
      </c>
      <c r="W12">
        <f t="shared" si="9"/>
        <v>-0.97286108336254939</v>
      </c>
      <c r="X12">
        <f t="shared" si="10"/>
        <v>2.6851226964585053</v>
      </c>
    </row>
    <row r="13" spans="1:24" ht="15" customHeight="1" x14ac:dyDescent="0.3">
      <c r="A13" s="1" t="s">
        <v>3</v>
      </c>
      <c r="B13" s="8">
        <f t="shared" si="2"/>
        <v>13.200000000000001</v>
      </c>
      <c r="C13" s="10">
        <f t="shared" si="3"/>
        <v>2.5802168295923251</v>
      </c>
      <c r="D13" s="2">
        <v>0.46300000000000002</v>
      </c>
      <c r="E13" s="2">
        <v>0.434</v>
      </c>
      <c r="F13" s="2">
        <v>0.27</v>
      </c>
      <c r="G13" s="2">
        <v>0.11700000000000001</v>
      </c>
      <c r="H13" s="2">
        <v>2.7E-2</v>
      </c>
      <c r="I13" s="2">
        <v>11.15</v>
      </c>
      <c r="J13" s="2">
        <v>0.252</v>
      </c>
      <c r="K13" s="2">
        <v>1.32</v>
      </c>
      <c r="L13" s="2">
        <v>8.89</v>
      </c>
      <c r="M13">
        <f t="shared" si="4"/>
        <v>-3.6119184129778081</v>
      </c>
      <c r="N13">
        <f t="shared" si="5"/>
        <v>13.200000000000001</v>
      </c>
      <c r="O13">
        <f t="shared" si="6"/>
        <v>8.89</v>
      </c>
      <c r="Q13">
        <f t="shared" si="7"/>
        <v>1.1205739312058498</v>
      </c>
      <c r="R13">
        <f t="shared" si="7"/>
        <v>0.94890176097021373</v>
      </c>
      <c r="S13">
        <f t="shared" si="8"/>
        <v>2.5802168295923251</v>
      </c>
      <c r="T13">
        <f t="shared" si="8"/>
        <v>2.1849270495258133</v>
      </c>
      <c r="U13">
        <f t="shared" si="0"/>
        <v>0.252</v>
      </c>
      <c r="V13">
        <f t="shared" si="1"/>
        <v>2.5802168295923251</v>
      </c>
      <c r="W13">
        <f t="shared" si="9"/>
        <v>-1.3783261914707137</v>
      </c>
      <c r="X13">
        <f t="shared" si="10"/>
        <v>2.411439497906128</v>
      </c>
    </row>
    <row r="14" spans="1:24" ht="15" customHeight="1" x14ac:dyDescent="0.3">
      <c r="A14" s="1" t="s">
        <v>4</v>
      </c>
      <c r="B14" s="8">
        <f t="shared" si="2"/>
        <v>6.8000000000000007</v>
      </c>
      <c r="C14" s="10">
        <f t="shared" si="3"/>
        <v>1.9169226121820611</v>
      </c>
      <c r="D14" s="2">
        <v>0.501</v>
      </c>
      <c r="E14" s="2">
        <v>0.48599999999999999</v>
      </c>
      <c r="F14" s="2">
        <v>0.33</v>
      </c>
      <c r="G14" s="2">
        <v>0.13300000000000001</v>
      </c>
      <c r="H14" s="2">
        <v>1.4999999999999999E-2</v>
      </c>
      <c r="I14" s="2">
        <v>20.79</v>
      </c>
      <c r="J14" s="2">
        <v>0.23400000000000001</v>
      </c>
      <c r="K14" s="2">
        <v>0.68</v>
      </c>
      <c r="L14" s="2">
        <v>16.68</v>
      </c>
      <c r="M14">
        <f t="shared" si="4"/>
        <v>-4.1997050778799272</v>
      </c>
      <c r="N14">
        <f t="shared" si="5"/>
        <v>6.8000000000000007</v>
      </c>
      <c r="O14">
        <f t="shared" si="6"/>
        <v>16.68</v>
      </c>
      <c r="Q14">
        <f t="shared" si="7"/>
        <v>0.83250891270623639</v>
      </c>
      <c r="R14">
        <f t="shared" si="7"/>
        <v>1.2221960463017199</v>
      </c>
      <c r="S14">
        <f t="shared" si="8"/>
        <v>1.9169226121820611</v>
      </c>
      <c r="T14">
        <f t="shared" si="8"/>
        <v>2.8142103969306005</v>
      </c>
      <c r="U14">
        <f t="shared" si="0"/>
        <v>0.23400000000000001</v>
      </c>
      <c r="V14">
        <f t="shared" si="1"/>
        <v>1.9169226121820611</v>
      </c>
      <c r="W14">
        <f t="shared" si="9"/>
        <v>-1.4524341636244356</v>
      </c>
      <c r="X14">
        <f t="shared" si="10"/>
        <v>3.0344721018699214</v>
      </c>
    </row>
    <row r="15" spans="1:24" ht="15" customHeight="1" x14ac:dyDescent="0.3">
      <c r="A15" s="1" t="s">
        <v>5</v>
      </c>
      <c r="B15" s="8">
        <f t="shared" si="2"/>
        <v>3</v>
      </c>
      <c r="C15" s="10">
        <f t="shared" si="3"/>
        <v>1.0986122886681098</v>
      </c>
      <c r="D15" s="2">
        <v>0.39800000000000002</v>
      </c>
      <c r="E15" s="2">
        <v>0.33</v>
      </c>
      <c r="F15" s="2">
        <v>0.255</v>
      </c>
      <c r="G15" s="2">
        <v>0.14799999999999999</v>
      </c>
      <c r="H15" s="2">
        <v>6.8000000000000005E-2</v>
      </c>
      <c r="I15" s="2">
        <v>28.08</v>
      </c>
      <c r="J15" s="2">
        <v>0.31900000000000001</v>
      </c>
      <c r="K15" s="2">
        <v>0.3</v>
      </c>
      <c r="L15" s="2">
        <v>21.85</v>
      </c>
      <c r="M15">
        <f t="shared" si="4"/>
        <v>-2.6882475738060303</v>
      </c>
      <c r="N15">
        <f t="shared" si="5"/>
        <v>3</v>
      </c>
      <c r="O15">
        <f t="shared" si="6"/>
        <v>21.85</v>
      </c>
      <c r="Q15">
        <f t="shared" si="7"/>
        <v>0.47712125471966244</v>
      </c>
      <c r="R15">
        <f t="shared" si="7"/>
        <v>1.3394514413064407</v>
      </c>
      <c r="S15">
        <f t="shared" si="8"/>
        <v>1.0986122886681098</v>
      </c>
      <c r="T15">
        <f t="shared" si="8"/>
        <v>3.0842009215415991</v>
      </c>
      <c r="U15">
        <f t="shared" si="0"/>
        <v>0.31900000000000001</v>
      </c>
      <c r="V15">
        <f t="shared" si="1"/>
        <v>1.0986122886681098</v>
      </c>
      <c r="W15">
        <f t="shared" si="9"/>
        <v>-1.1425641761972924</v>
      </c>
      <c r="X15">
        <f t="shared" si="10"/>
        <v>3.3350575791576103</v>
      </c>
    </row>
    <row r="16" spans="1:24" ht="15" customHeight="1" x14ac:dyDescent="0.3">
      <c r="A16" s="1" t="s">
        <v>6</v>
      </c>
      <c r="B16" s="8">
        <f t="shared" si="2"/>
        <v>2</v>
      </c>
      <c r="C16" s="10">
        <f t="shared" si="3"/>
        <v>0.69314718055994529</v>
      </c>
      <c r="D16" s="2">
        <v>0.46400000000000002</v>
      </c>
      <c r="E16" s="2">
        <v>0.39</v>
      </c>
      <c r="F16" s="2">
        <v>0.318</v>
      </c>
      <c r="G16" s="2">
        <v>0.19700000000000001</v>
      </c>
      <c r="H16" s="2">
        <v>7.4999999999999997E-2</v>
      </c>
      <c r="I16" s="2">
        <v>25.89</v>
      </c>
      <c r="J16" s="2">
        <v>0.24199999999999999</v>
      </c>
      <c r="K16" s="2">
        <v>0.2</v>
      </c>
      <c r="L16" s="2">
        <v>20.88</v>
      </c>
      <c r="M16">
        <f t="shared" si="4"/>
        <v>-2.5902671654458267</v>
      </c>
      <c r="N16">
        <f t="shared" si="5"/>
        <v>2</v>
      </c>
      <c r="O16">
        <f t="shared" si="6"/>
        <v>20.88</v>
      </c>
      <c r="Q16">
        <f t="shared" si="7"/>
        <v>0.3010299956639812</v>
      </c>
      <c r="R16">
        <f t="shared" si="7"/>
        <v>1.3197304943302246</v>
      </c>
      <c r="S16">
        <f t="shared" si="8"/>
        <v>0.69314718055994529</v>
      </c>
      <c r="T16">
        <f t="shared" si="8"/>
        <v>3.0387917630144381</v>
      </c>
      <c r="U16">
        <f t="shared" si="0"/>
        <v>0.24199999999999999</v>
      </c>
      <c r="V16">
        <f t="shared" si="1"/>
        <v>0.69314718055994529</v>
      </c>
      <c r="W16">
        <f t="shared" si="9"/>
        <v>-1.4188175528254507</v>
      </c>
      <c r="X16">
        <f t="shared" si="10"/>
        <v>3.2538567937634464</v>
      </c>
    </row>
    <row r="17" spans="1:24" ht="15" customHeight="1" x14ac:dyDescent="0.3">
      <c r="A17" s="1" t="s">
        <v>7</v>
      </c>
      <c r="B17" s="8">
        <f t="shared" si="2"/>
        <v>2</v>
      </c>
      <c r="C17" s="10">
        <f t="shared" si="3"/>
        <v>0.69314718055994529</v>
      </c>
      <c r="D17" s="2">
        <v>0.47099999999999997</v>
      </c>
      <c r="E17" s="2">
        <v>0.432</v>
      </c>
      <c r="F17" s="2">
        <v>0.36599999999999999</v>
      </c>
      <c r="G17" s="2">
        <v>0.20799999999999999</v>
      </c>
      <c r="H17" s="2">
        <v>0.04</v>
      </c>
      <c r="I17" s="2">
        <v>32.56</v>
      </c>
      <c r="J17" s="2">
        <v>0.17699999999999999</v>
      </c>
      <c r="K17" s="2">
        <v>0.2</v>
      </c>
      <c r="L17" s="2">
        <v>27.3</v>
      </c>
      <c r="M17">
        <f t="shared" si="4"/>
        <v>-3.2188758248682006</v>
      </c>
      <c r="N17">
        <f t="shared" si="5"/>
        <v>2</v>
      </c>
      <c r="O17">
        <f t="shared" si="6"/>
        <v>27.3</v>
      </c>
      <c r="Q17">
        <f t="shared" si="7"/>
        <v>0.3010299956639812</v>
      </c>
      <c r="R17">
        <f t="shared" si="7"/>
        <v>1.436162647040756</v>
      </c>
      <c r="S17">
        <f t="shared" si="8"/>
        <v>0.69314718055994529</v>
      </c>
      <c r="T17">
        <f t="shared" si="8"/>
        <v>3.3068867021909143</v>
      </c>
      <c r="U17">
        <f t="shared" si="0"/>
        <v>0.17699999999999999</v>
      </c>
      <c r="V17">
        <f t="shared" si="1"/>
        <v>0.69314718055994529</v>
      </c>
      <c r="W17">
        <f t="shared" si="9"/>
        <v>-1.731605546408308</v>
      </c>
      <c r="X17">
        <f t="shared" si="10"/>
        <v>3.4830845411343394</v>
      </c>
    </row>
    <row r="18" spans="1:24" ht="15" customHeight="1" x14ac:dyDescent="0.3">
      <c r="A18" s="1" t="s">
        <v>8</v>
      </c>
      <c r="B18" s="8">
        <f t="shared" si="2"/>
        <v>1.2</v>
      </c>
      <c r="C18" s="10">
        <f t="shared" si="3"/>
        <v>0.18232155679395459</v>
      </c>
      <c r="D18" s="2">
        <v>0.43</v>
      </c>
      <c r="E18" s="2">
        <v>0.32100000000000001</v>
      </c>
      <c r="F18" s="2">
        <v>0.33900000000000002</v>
      </c>
      <c r="G18" s="2">
        <v>0.23899999999999999</v>
      </c>
      <c r="H18" s="2">
        <v>0.109</v>
      </c>
      <c r="I18" s="2">
        <v>29.17</v>
      </c>
      <c r="J18" s="2">
        <v>0.223</v>
      </c>
      <c r="K18" s="2">
        <v>0.12</v>
      </c>
      <c r="L18" s="2">
        <v>23.9</v>
      </c>
      <c r="M18">
        <f t="shared" si="4"/>
        <v>-2.2164073967529934</v>
      </c>
      <c r="N18">
        <f t="shared" si="5"/>
        <v>1.2</v>
      </c>
      <c r="O18">
        <f t="shared" si="6"/>
        <v>23.9</v>
      </c>
      <c r="Q18">
        <f t="shared" si="7"/>
        <v>7.9181246047624818E-2</v>
      </c>
      <c r="R18">
        <f t="shared" si="7"/>
        <v>1.3783979009481377</v>
      </c>
      <c r="S18">
        <f t="shared" si="8"/>
        <v>0.18232155679395459</v>
      </c>
      <c r="T18">
        <f t="shared" si="8"/>
        <v>3.1738784589374651</v>
      </c>
      <c r="U18">
        <f t="shared" si="0"/>
        <v>0.223</v>
      </c>
      <c r="V18">
        <f t="shared" si="1"/>
        <v>0.18232155679395459</v>
      </c>
      <c r="W18">
        <f t="shared" si="9"/>
        <v>-1.5005835075220182</v>
      </c>
      <c r="X18">
        <f t="shared" si="10"/>
        <v>3.3731407838796299</v>
      </c>
    </row>
    <row r="19" spans="1:24" ht="15" customHeight="1" x14ac:dyDescent="0.3">
      <c r="A19" s="1" t="s">
        <v>9</v>
      </c>
      <c r="B19" s="8">
        <f t="shared" si="2"/>
        <v>1</v>
      </c>
      <c r="C19" s="10">
        <f t="shared" si="3"/>
        <v>0</v>
      </c>
      <c r="D19" s="2">
        <v>0.47899999999999998</v>
      </c>
      <c r="E19" s="2">
        <v>0.42299999999999999</v>
      </c>
      <c r="F19" s="2">
        <v>0.38700000000000001</v>
      </c>
      <c r="G19" s="2">
        <v>0.25</v>
      </c>
      <c r="H19" s="2">
        <v>5.6000000000000001E-2</v>
      </c>
      <c r="I19" s="2">
        <v>34.19</v>
      </c>
      <c r="J19" s="2">
        <v>0.15</v>
      </c>
      <c r="K19" s="2">
        <v>0.1</v>
      </c>
      <c r="L19" s="2">
        <v>29.22</v>
      </c>
      <c r="M19">
        <f t="shared" si="4"/>
        <v>-2.8824035882469876</v>
      </c>
      <c r="N19">
        <f t="shared" si="5"/>
        <v>1</v>
      </c>
      <c r="O19">
        <f t="shared" si="6"/>
        <v>29.22</v>
      </c>
      <c r="Q19">
        <f t="shared" si="7"/>
        <v>0</v>
      </c>
      <c r="R19">
        <f t="shared" si="7"/>
        <v>1.4656802115982779</v>
      </c>
      <c r="S19">
        <f t="shared" si="8"/>
        <v>0</v>
      </c>
      <c r="T19">
        <f t="shared" si="8"/>
        <v>3.3748534063225533</v>
      </c>
      <c r="U19">
        <f t="shared" si="0"/>
        <v>0.15</v>
      </c>
      <c r="V19">
        <f t="shared" si="1"/>
        <v>0</v>
      </c>
      <c r="W19">
        <f t="shared" si="9"/>
        <v>-1.8971199848858813</v>
      </c>
      <c r="X19">
        <f t="shared" si="10"/>
        <v>3.5319332036512097</v>
      </c>
    </row>
    <row r="20" spans="1:24" ht="15" customHeight="1" x14ac:dyDescent="0.3">
      <c r="A20" s="1" t="s">
        <v>10</v>
      </c>
      <c r="B20" s="9">
        <f t="shared" si="2"/>
        <v>0.6</v>
      </c>
      <c r="C20" s="11">
        <f t="shared" si="3"/>
        <v>-0.51082562376599072</v>
      </c>
      <c r="D20" s="2">
        <v>0.47499999999999998</v>
      </c>
      <c r="E20" s="2">
        <v>0.38500000000000001</v>
      </c>
      <c r="F20" s="2">
        <v>0.39600000000000002</v>
      </c>
      <c r="G20" s="2">
        <v>0.27200000000000002</v>
      </c>
      <c r="H20" s="2">
        <v>0.09</v>
      </c>
      <c r="I20" s="2">
        <v>37.299999999999997</v>
      </c>
      <c r="J20" s="2">
        <v>0.16500000000000001</v>
      </c>
      <c r="K20" s="2">
        <v>0.06</v>
      </c>
      <c r="L20" s="2">
        <v>31.63</v>
      </c>
      <c r="M20">
        <f t="shared" si="4"/>
        <v>-2.4079456086518722</v>
      </c>
      <c r="N20">
        <f t="shared" si="5"/>
        <v>0.6</v>
      </c>
      <c r="O20">
        <f t="shared" si="6"/>
        <v>31.63</v>
      </c>
      <c r="Q20">
        <f t="shared" si="7"/>
        <v>-0.22184874961635639</v>
      </c>
      <c r="R20">
        <f t="shared" si="7"/>
        <v>1.5000991919157229</v>
      </c>
      <c r="S20">
        <f t="shared" si="8"/>
        <v>-0.51082562376599072</v>
      </c>
      <c r="T20">
        <f t="shared" si="8"/>
        <v>3.4541060373175574</v>
      </c>
      <c r="U20">
        <f t="shared" si="0"/>
        <v>0.16500000000000001</v>
      </c>
      <c r="V20">
        <f t="shared" si="1"/>
        <v>-0.51082562376599072</v>
      </c>
      <c r="W20">
        <f t="shared" si="9"/>
        <v>-1.8018098050815563</v>
      </c>
      <c r="X20">
        <f t="shared" si="10"/>
        <v>3.6189933266497696</v>
      </c>
    </row>
    <row r="21" spans="1:24" ht="15" customHeight="1" x14ac:dyDescent="0.3"/>
    <row r="22" spans="1:24" ht="15" customHeight="1" x14ac:dyDescent="0.3"/>
    <row r="23" spans="1:24" x14ac:dyDescent="0.3">
      <c r="F23" t="s">
        <v>50</v>
      </c>
      <c r="H23" t="s">
        <v>51</v>
      </c>
      <c r="I23" t="s">
        <v>52</v>
      </c>
    </row>
    <row r="24" spans="1:24" x14ac:dyDescent="0.3">
      <c r="E24">
        <v>0.1</v>
      </c>
      <c r="F24">
        <f>(E24-$H$12)/($D$12-$H$12)</f>
        <v>0.14320388349514562</v>
      </c>
      <c r="G24">
        <f>F24^(1/$J$12)</f>
        <v>5.8489267018005386E-3</v>
      </c>
      <c r="H24">
        <f>$I$12/G24</f>
        <v>2506.4427624793202</v>
      </c>
      <c r="I24">
        <f>LOG(H24)</f>
        <v>3.3990577914452955</v>
      </c>
    </row>
    <row r="25" spans="1:24" x14ac:dyDescent="0.3">
      <c r="E25">
        <f>E24+0.05</f>
        <v>0.15000000000000002</v>
      </c>
      <c r="F25">
        <f t="shared" ref="F25:F32" si="11">(E25-$H$12)/($D$12-$H$12)</f>
        <v>0.2645631067961165</v>
      </c>
      <c r="G25">
        <f t="shared" ref="G25:G32" si="12">F25^(1/$J$12)</f>
        <v>2.966877995767073E-2</v>
      </c>
      <c r="H25">
        <f t="shared" ref="H25:H32" si="13">$I$12/G25</f>
        <v>494.12210481576352</v>
      </c>
      <c r="I25">
        <f t="shared" ref="I25:I32" si="14">LOG(H25)</f>
        <v>2.6938342827191595</v>
      </c>
    </row>
    <row r="26" spans="1:24" x14ac:dyDescent="0.3">
      <c r="E26">
        <f t="shared" ref="E26:E31" si="15">E25+0.05</f>
        <v>0.2</v>
      </c>
      <c r="F26">
        <f t="shared" si="11"/>
        <v>0.38592233009708737</v>
      </c>
      <c r="G26">
        <f t="shared" si="12"/>
        <v>8.0553499715352847E-2</v>
      </c>
      <c r="H26">
        <f t="shared" si="13"/>
        <v>181.99085144411077</v>
      </c>
      <c r="I26">
        <f t="shared" si="14"/>
        <v>2.260049556846599</v>
      </c>
    </row>
    <row r="27" spans="1:24" x14ac:dyDescent="0.3">
      <c r="E27">
        <f t="shared" si="15"/>
        <v>0.25</v>
      </c>
      <c r="F27">
        <f t="shared" si="11"/>
        <v>0.50728155339805814</v>
      </c>
      <c r="G27">
        <f t="shared" si="12"/>
        <v>0.16604875937107844</v>
      </c>
      <c r="H27">
        <f t="shared" si="13"/>
        <v>88.287320275838255</v>
      </c>
      <c r="I27">
        <f t="shared" si="14"/>
        <v>1.9458983351783385</v>
      </c>
    </row>
    <row r="28" spans="1:24" x14ac:dyDescent="0.3">
      <c r="E28">
        <f t="shared" si="15"/>
        <v>0.3</v>
      </c>
      <c r="F28">
        <f t="shared" si="11"/>
        <v>0.62864077669902907</v>
      </c>
      <c r="G28">
        <f t="shared" si="12"/>
        <v>0.29286900217069251</v>
      </c>
      <c r="H28">
        <f t="shared" si="13"/>
        <v>50.056509536149989</v>
      </c>
      <c r="I28">
        <f t="shared" si="14"/>
        <v>1.6994605627704076</v>
      </c>
    </row>
    <row r="29" spans="1:24" x14ac:dyDescent="0.3">
      <c r="E29">
        <f t="shared" si="15"/>
        <v>0.35</v>
      </c>
      <c r="F29">
        <f t="shared" si="11"/>
        <v>0.74999999999999989</v>
      </c>
      <c r="G29">
        <f t="shared" si="12"/>
        <v>0.46716924230867091</v>
      </c>
      <c r="H29">
        <f t="shared" si="13"/>
        <v>31.380490563875256</v>
      </c>
      <c r="I29">
        <f t="shared" si="14"/>
        <v>1.4966597285281251</v>
      </c>
    </row>
    <row r="30" spans="1:24" x14ac:dyDescent="0.3">
      <c r="E30">
        <f t="shared" si="15"/>
        <v>0.39999999999999997</v>
      </c>
      <c r="F30">
        <f t="shared" si="11"/>
        <v>0.87135922330097082</v>
      </c>
      <c r="G30">
        <f t="shared" si="12"/>
        <v>0.69469091688231732</v>
      </c>
      <c r="H30">
        <f t="shared" si="13"/>
        <v>21.102910148576836</v>
      </c>
      <c r="I30">
        <f t="shared" si="14"/>
        <v>1.3243423498152032</v>
      </c>
    </row>
    <row r="31" spans="1:24" x14ac:dyDescent="0.3">
      <c r="E31">
        <f t="shared" si="15"/>
        <v>0.44999999999999996</v>
      </c>
      <c r="F31">
        <f t="shared" si="11"/>
        <v>0.99271844660194164</v>
      </c>
      <c r="G31">
        <f t="shared" si="12"/>
        <v>0.98085185535795594</v>
      </c>
      <c r="H31">
        <f t="shared" si="13"/>
        <v>14.946191843262531</v>
      </c>
      <c r="I31">
        <f t="shared" si="14"/>
        <v>1.1745305523839262</v>
      </c>
    </row>
    <row r="32" spans="1:24" x14ac:dyDescent="0.3">
      <c r="E32">
        <f>E31+0.05</f>
        <v>0.49999999999999994</v>
      </c>
      <c r="F32">
        <f t="shared" si="11"/>
        <v>1.1140776699029125</v>
      </c>
      <c r="G32">
        <f t="shared" si="12"/>
        <v>1.3308067613251173</v>
      </c>
      <c r="H32">
        <f t="shared" si="13"/>
        <v>11.01587429973881</v>
      </c>
      <c r="I32">
        <f t="shared" si="14"/>
        <v>1.0420189716169437</v>
      </c>
    </row>
  </sheetData>
  <hyperlinks>
    <hyperlink ref="I7" r:id="rId1" display="https://www.gsshawiki.com/File:Psi.gif" xr:uid="{74A078CE-B62C-429A-8797-EA6B07D8B36C}"/>
    <hyperlink ref="L7" r:id="rId2" display="https://www.gsshawiki.com/File:Psi.gif" xr:uid="{E9DB621B-DF26-4E7B-A1D0-6209DA9FE58A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5A8B-90A0-4411-8675-844E7B6A353A}">
  <dimension ref="B3:Z48"/>
  <sheetViews>
    <sheetView tabSelected="1" topLeftCell="G16" workbookViewId="0">
      <selection activeCell="Z49" sqref="Z49"/>
    </sheetView>
  </sheetViews>
  <sheetFormatPr defaultRowHeight="14.4" x14ac:dyDescent="0.3"/>
  <cols>
    <col min="15" max="15" width="11" bestFit="1" customWidth="1"/>
    <col min="18" max="18" width="14.109375" customWidth="1"/>
  </cols>
  <sheetData>
    <row r="3" spans="2:26" x14ac:dyDescent="0.3">
      <c r="B3" t="s">
        <v>53</v>
      </c>
    </row>
    <row r="4" spans="2:26" x14ac:dyDescent="0.3">
      <c r="K4" t="s">
        <v>56</v>
      </c>
      <c r="N4" t="s">
        <v>75</v>
      </c>
      <c r="O4" t="s">
        <v>76</v>
      </c>
    </row>
    <row r="5" spans="2:26" x14ac:dyDescent="0.3">
      <c r="K5" t="s">
        <v>57</v>
      </c>
      <c r="L5" t="s">
        <v>36</v>
      </c>
      <c r="M5" t="s">
        <v>44</v>
      </c>
      <c r="N5" t="s">
        <v>54</v>
      </c>
      <c r="P5" t="s">
        <v>55</v>
      </c>
      <c r="U5" s="14"/>
      <c r="V5" s="14"/>
      <c r="W5" s="15" t="s">
        <v>43</v>
      </c>
      <c r="X5" s="16" t="s">
        <v>44</v>
      </c>
      <c r="Y5" s="14" t="s">
        <v>54</v>
      </c>
      <c r="Z5" s="14" t="s">
        <v>55</v>
      </c>
    </row>
    <row r="6" spans="2:26" x14ac:dyDescent="0.3">
      <c r="I6">
        <v>10</v>
      </c>
      <c r="J6" t="s">
        <v>58</v>
      </c>
      <c r="K6">
        <v>2.9999999999999997E-4</v>
      </c>
      <c r="L6">
        <f>K6*600</f>
        <v>0.18</v>
      </c>
      <c r="M6">
        <f>LN(L6)</f>
        <v>-1.7147984280919266</v>
      </c>
      <c r="N6">
        <v>5.0000000000000001E-3</v>
      </c>
      <c r="O6">
        <f>N6*0.01</f>
        <v>5.0000000000000002E-5</v>
      </c>
      <c r="P6">
        <v>1.0900000000000001</v>
      </c>
      <c r="U6" s="14">
        <v>1</v>
      </c>
      <c r="V6" s="17" t="s">
        <v>0</v>
      </c>
      <c r="W6" s="18">
        <v>235.6</v>
      </c>
      <c r="X6" s="19">
        <f>LN(W6)</f>
        <v>5.4621354517774314</v>
      </c>
      <c r="Y6" s="14">
        <f>O6</f>
        <v>5.0000000000000002E-5</v>
      </c>
      <c r="Z6" s="14">
        <v>2.68</v>
      </c>
    </row>
    <row r="7" spans="2:26" x14ac:dyDescent="0.3">
      <c r="I7">
        <v>8</v>
      </c>
      <c r="J7" t="s">
        <v>59</v>
      </c>
      <c r="K7">
        <v>1.1999999999999999E-3</v>
      </c>
      <c r="L7">
        <f>K7*600</f>
        <v>0.72</v>
      </c>
      <c r="M7">
        <f>LN(L7)</f>
        <v>-0.3285040669720361</v>
      </c>
      <c r="N7">
        <v>0.01</v>
      </c>
      <c r="O7">
        <f>N7*0.01</f>
        <v>1E-4</v>
      </c>
      <c r="P7">
        <v>1.23</v>
      </c>
      <c r="U7" s="14">
        <v>2</v>
      </c>
      <c r="V7" s="17" t="s">
        <v>1</v>
      </c>
      <c r="W7" s="18">
        <v>59.800000000000004</v>
      </c>
      <c r="X7" s="19">
        <f t="shared" ref="X7:X17" si="0">LN(W7)</f>
        <v>4.0910056609565864</v>
      </c>
      <c r="Y7" s="14">
        <f t="shared" ref="Y7:Y17" si="1">O7</f>
        <v>1E-4</v>
      </c>
      <c r="Z7" s="14">
        <v>2.2799999999999998</v>
      </c>
    </row>
    <row r="8" spans="2:26" x14ac:dyDescent="0.3">
      <c r="I8">
        <v>9</v>
      </c>
      <c r="J8" t="s">
        <v>60</v>
      </c>
      <c r="K8">
        <v>2E-3</v>
      </c>
      <c r="L8">
        <f>K8*600</f>
        <v>1.2</v>
      </c>
      <c r="M8">
        <f>LN(L8)</f>
        <v>0.18232155679395459</v>
      </c>
      <c r="N8">
        <v>2.7E-2</v>
      </c>
      <c r="O8">
        <f>N8*0.01</f>
        <v>2.7E-4</v>
      </c>
      <c r="P8">
        <v>1.23</v>
      </c>
      <c r="U8" s="14">
        <v>3</v>
      </c>
      <c r="V8" s="17" t="s">
        <v>2</v>
      </c>
      <c r="W8" s="18">
        <v>21.8</v>
      </c>
      <c r="X8" s="19">
        <f t="shared" si="0"/>
        <v>3.0819099697950434</v>
      </c>
      <c r="Y8" s="14">
        <f t="shared" si="1"/>
        <v>2.7E-4</v>
      </c>
      <c r="Z8" s="14">
        <v>1.89</v>
      </c>
    </row>
    <row r="9" spans="2:26" x14ac:dyDescent="0.3">
      <c r="I9">
        <v>11</v>
      </c>
      <c r="J9" t="s">
        <v>61</v>
      </c>
      <c r="K9">
        <v>3.3E-3</v>
      </c>
      <c r="L9">
        <f>K9*600</f>
        <v>1.98</v>
      </c>
      <c r="M9">
        <f>LN(L9)</f>
        <v>0.68309684470644383</v>
      </c>
      <c r="N9">
        <v>8.0000000000000002E-3</v>
      </c>
      <c r="O9">
        <f>N9*0.01</f>
        <v>8.0000000000000007E-5</v>
      </c>
      <c r="P9">
        <v>1.0900000000000001</v>
      </c>
      <c r="U9" s="14">
        <v>4</v>
      </c>
      <c r="V9" s="17" t="s">
        <v>3</v>
      </c>
      <c r="W9" s="18">
        <v>13.200000000000001</v>
      </c>
      <c r="X9" s="19">
        <f t="shared" si="0"/>
        <v>2.5802168295923251</v>
      </c>
      <c r="Y9" s="14">
        <f t="shared" si="1"/>
        <v>8.0000000000000007E-5</v>
      </c>
      <c r="Z9" s="14">
        <v>1.56</v>
      </c>
    </row>
    <row r="10" spans="2:26" x14ac:dyDescent="0.3">
      <c r="I10">
        <v>12</v>
      </c>
      <c r="J10" t="s">
        <v>63</v>
      </c>
      <c r="K10">
        <v>4.1999999999999997E-3</v>
      </c>
      <c r="L10">
        <f>K10*600</f>
        <v>2.52</v>
      </c>
      <c r="M10">
        <f>LN(L10)</f>
        <v>0.9242589015233319</v>
      </c>
      <c r="N10">
        <v>1.6E-2</v>
      </c>
      <c r="O10">
        <f>N10*0.01</f>
        <v>1.6000000000000001E-4</v>
      </c>
      <c r="P10">
        <v>1.37</v>
      </c>
      <c r="U10" s="14">
        <v>5</v>
      </c>
      <c r="V10" s="17" t="s">
        <v>4</v>
      </c>
      <c r="W10" s="18">
        <v>6.8000000000000007</v>
      </c>
      <c r="X10" s="19">
        <f t="shared" si="0"/>
        <v>1.9169226121820611</v>
      </c>
      <c r="Y10" s="14">
        <f t="shared" si="1"/>
        <v>1.6000000000000001E-4</v>
      </c>
      <c r="Z10" s="14">
        <v>1.41</v>
      </c>
    </row>
    <row r="11" spans="2:26" x14ac:dyDescent="0.3">
      <c r="I11">
        <v>7</v>
      </c>
      <c r="J11" t="s">
        <v>62</v>
      </c>
      <c r="K11">
        <v>4.3E-3</v>
      </c>
      <c r="L11">
        <f>K11*600</f>
        <v>2.58</v>
      </c>
      <c r="M11">
        <f>LN(L11)</f>
        <v>0.94778939893352609</v>
      </c>
      <c r="N11">
        <v>1.9E-2</v>
      </c>
      <c r="O11">
        <f>N11*0.01</f>
        <v>1.9000000000000001E-4</v>
      </c>
      <c r="P11">
        <v>1.31</v>
      </c>
      <c r="U11" s="14">
        <v>6</v>
      </c>
      <c r="V11" s="17" t="s">
        <v>5</v>
      </c>
      <c r="W11" s="18">
        <v>3</v>
      </c>
      <c r="X11" s="19">
        <f t="shared" si="0"/>
        <v>1.0986122886681098</v>
      </c>
      <c r="Y11" s="14">
        <f t="shared" si="1"/>
        <v>1.9000000000000001E-4</v>
      </c>
      <c r="Z11" s="14">
        <v>1.48</v>
      </c>
    </row>
    <row r="12" spans="2:26" x14ac:dyDescent="0.3">
      <c r="I12">
        <v>5</v>
      </c>
      <c r="J12" t="s">
        <v>65</v>
      </c>
      <c r="K12">
        <v>7.4999999999999997E-3</v>
      </c>
      <c r="L12">
        <f>K12*600</f>
        <v>4.5</v>
      </c>
      <c r="M12">
        <f>LN(L12)</f>
        <v>1.5040773967762742</v>
      </c>
      <c r="N12">
        <v>0.02</v>
      </c>
      <c r="O12">
        <f>N12*0.01</f>
        <v>2.0000000000000001E-4</v>
      </c>
      <c r="P12">
        <v>1.41</v>
      </c>
      <c r="U12" s="14">
        <v>7</v>
      </c>
      <c r="V12" s="17" t="s">
        <v>6</v>
      </c>
      <c r="W12" s="18">
        <v>2</v>
      </c>
      <c r="X12" s="19">
        <f t="shared" si="0"/>
        <v>0.69314718055994529</v>
      </c>
      <c r="Y12" s="14">
        <f t="shared" si="1"/>
        <v>2.0000000000000001E-4</v>
      </c>
      <c r="Z12" s="14">
        <v>1.31</v>
      </c>
    </row>
    <row r="13" spans="2:26" x14ac:dyDescent="0.3">
      <c r="I13">
        <v>4</v>
      </c>
      <c r="J13" t="s">
        <v>64</v>
      </c>
      <c r="K13">
        <v>1.7299999999999999E-2</v>
      </c>
      <c r="L13">
        <f>K13*600</f>
        <v>10.379999999999999</v>
      </c>
      <c r="M13">
        <f>LN(L13)</f>
        <v>2.3398808777377424</v>
      </c>
      <c r="N13">
        <v>3.5999999999999997E-2</v>
      </c>
      <c r="O13">
        <f>N13*0.01</f>
        <v>3.5999999999999997E-4</v>
      </c>
      <c r="P13">
        <v>1.56</v>
      </c>
      <c r="U13" s="14">
        <v>8</v>
      </c>
      <c r="V13" s="17" t="s">
        <v>7</v>
      </c>
      <c r="W13" s="18">
        <v>2</v>
      </c>
      <c r="X13" s="19">
        <f t="shared" si="0"/>
        <v>0.69314718055994529</v>
      </c>
      <c r="Y13" s="14">
        <f t="shared" si="1"/>
        <v>3.5999999999999997E-4</v>
      </c>
      <c r="Z13" s="14">
        <v>1.23</v>
      </c>
    </row>
    <row r="14" spans="2:26" x14ac:dyDescent="0.3">
      <c r="I14">
        <v>6</v>
      </c>
      <c r="J14" t="s">
        <v>66</v>
      </c>
      <c r="K14">
        <v>2.18E-2</v>
      </c>
      <c r="L14">
        <f>K14*600</f>
        <v>13.08</v>
      </c>
      <c r="M14">
        <f>LN(L14)</f>
        <v>2.5710843460290524</v>
      </c>
      <c r="N14">
        <v>5.8999999999999997E-2</v>
      </c>
      <c r="O14">
        <f>N14*0.01</f>
        <v>5.9000000000000003E-4</v>
      </c>
      <c r="P14">
        <v>1.48</v>
      </c>
      <c r="U14" s="14">
        <v>9</v>
      </c>
      <c r="V14" s="17" t="s">
        <v>8</v>
      </c>
      <c r="W14" s="18">
        <v>1.2</v>
      </c>
      <c r="X14" s="19">
        <f t="shared" si="0"/>
        <v>0.18232155679395459</v>
      </c>
      <c r="Y14" s="14">
        <f t="shared" si="1"/>
        <v>5.9000000000000003E-4</v>
      </c>
      <c r="Z14" s="14">
        <v>1.23</v>
      </c>
    </row>
    <row r="15" spans="2:26" x14ac:dyDescent="0.3">
      <c r="I15">
        <v>3</v>
      </c>
      <c r="J15" t="s">
        <v>67</v>
      </c>
      <c r="K15">
        <v>7.3700000000000002E-2</v>
      </c>
      <c r="L15">
        <f>K15*600</f>
        <v>44.22</v>
      </c>
      <c r="M15">
        <f>LN(L15)</f>
        <v>3.7891771754293</v>
      </c>
      <c r="N15">
        <v>7.4999999999999997E-2</v>
      </c>
      <c r="O15">
        <f>N15*0.01</f>
        <v>7.5000000000000002E-4</v>
      </c>
      <c r="P15">
        <v>1.89</v>
      </c>
      <c r="U15" s="14">
        <v>10</v>
      </c>
      <c r="V15" s="17" t="s">
        <v>9</v>
      </c>
      <c r="W15" s="18">
        <v>1</v>
      </c>
      <c r="X15" s="19">
        <f t="shared" si="0"/>
        <v>0</v>
      </c>
      <c r="Y15" s="14">
        <f t="shared" si="1"/>
        <v>7.5000000000000002E-4</v>
      </c>
      <c r="Z15" s="14">
        <v>1.0900000000000001</v>
      </c>
    </row>
    <row r="16" spans="2:26" x14ac:dyDescent="0.3">
      <c r="I16">
        <v>2</v>
      </c>
      <c r="J16" t="s">
        <v>68</v>
      </c>
      <c r="K16">
        <v>0.2432</v>
      </c>
      <c r="L16">
        <f>K16*600</f>
        <v>145.91999999999999</v>
      </c>
      <c r="M16">
        <f>LN(L16)</f>
        <v>4.9830585263260208</v>
      </c>
      <c r="N16">
        <v>0.124</v>
      </c>
      <c r="O16">
        <f>N16*0.01</f>
        <v>1.24E-3</v>
      </c>
      <c r="P16">
        <v>2.2799999999999998</v>
      </c>
      <c r="U16" s="14">
        <v>11</v>
      </c>
      <c r="V16" s="17" t="s">
        <v>10</v>
      </c>
      <c r="W16" s="20">
        <v>0.6</v>
      </c>
      <c r="X16" s="19">
        <f t="shared" si="0"/>
        <v>-0.51082562376599072</v>
      </c>
      <c r="Y16" s="14">
        <f t="shared" si="1"/>
        <v>1.24E-3</v>
      </c>
      <c r="Z16" s="14">
        <v>1.0900000000000001</v>
      </c>
    </row>
    <row r="17" spans="9:26" x14ac:dyDescent="0.3">
      <c r="I17">
        <v>1</v>
      </c>
      <c r="J17" t="s">
        <v>69</v>
      </c>
      <c r="K17">
        <v>0.495</v>
      </c>
      <c r="L17">
        <f>K17*600</f>
        <v>297</v>
      </c>
      <c r="M17">
        <f>LN(L17)</f>
        <v>5.6937321388026998</v>
      </c>
      <c r="N17">
        <v>0.14499999999999999</v>
      </c>
      <c r="O17">
        <f>N17*0.01</f>
        <v>1.4499999999999999E-3</v>
      </c>
      <c r="P17">
        <v>2.68</v>
      </c>
      <c r="U17" s="14">
        <v>12</v>
      </c>
      <c r="V17" s="17" t="s">
        <v>70</v>
      </c>
      <c r="W17" s="18">
        <v>2.52</v>
      </c>
      <c r="X17" s="19">
        <f t="shared" si="0"/>
        <v>0.9242589015233319</v>
      </c>
      <c r="Y17" s="14">
        <f t="shared" si="1"/>
        <v>1.4499999999999999E-3</v>
      </c>
      <c r="Z17" s="14">
        <v>1.37</v>
      </c>
    </row>
    <row r="32" spans="9:26" x14ac:dyDescent="0.3">
      <c r="M32">
        <v>5.09</v>
      </c>
      <c r="N32">
        <v>5.0000000000000001E-3</v>
      </c>
      <c r="O32">
        <f>M32*0.000001*3600*1000</f>
        <v>18.324000000000002</v>
      </c>
      <c r="P32">
        <f>LOG(O32)</f>
        <v>1.263020283104046</v>
      </c>
      <c r="Q32">
        <f>N32</f>
        <v>5.0000000000000001E-3</v>
      </c>
    </row>
    <row r="33" spans="13:25" x14ac:dyDescent="0.3">
      <c r="M33">
        <v>4.9800000000000004</v>
      </c>
      <c r="N33">
        <v>6.0000000000000001E-3</v>
      </c>
      <c r="O33">
        <f>M33*0.000001*3600*1000</f>
        <v>17.928000000000004</v>
      </c>
      <c r="P33">
        <f>LOG(O33)</f>
        <v>1.2535318435270049</v>
      </c>
      <c r="Q33">
        <f>N33</f>
        <v>6.0000000000000001E-3</v>
      </c>
    </row>
    <row r="34" spans="13:25" x14ac:dyDescent="0.3">
      <c r="M34">
        <v>2.5499999999999998</v>
      </c>
      <c r="N34">
        <v>6.0000000000000001E-3</v>
      </c>
      <c r="O34">
        <f>M34*0.000001*3600*1000</f>
        <v>9.18</v>
      </c>
      <c r="P34">
        <f>LOG(O34)</f>
        <v>0.96284268120124239</v>
      </c>
      <c r="Q34">
        <f>N34</f>
        <v>6.0000000000000001E-3</v>
      </c>
    </row>
    <row r="35" spans="13:25" x14ac:dyDescent="0.3">
      <c r="M35">
        <v>2.08</v>
      </c>
      <c r="N35">
        <v>6.0000000000000001E-3</v>
      </c>
      <c r="O35">
        <f>M35*0.000001*3600*1000</f>
        <v>7.4879999999999995</v>
      </c>
      <c r="P35">
        <f>LOG(O35)</f>
        <v>0.87436583573004878</v>
      </c>
      <c r="Q35">
        <f>N35</f>
        <v>6.0000000000000001E-3</v>
      </c>
    </row>
    <row r="36" spans="13:25" x14ac:dyDescent="0.3">
      <c r="M36">
        <v>1.5</v>
      </c>
      <c r="N36">
        <v>7.0000000000000001E-3</v>
      </c>
      <c r="O36">
        <f>M36*0.000001*3600*1000</f>
        <v>5.4</v>
      </c>
      <c r="P36">
        <f>LOG(O36)</f>
        <v>0.7323937598229685</v>
      </c>
      <c r="Q36">
        <f>N36</f>
        <v>7.0000000000000001E-3</v>
      </c>
    </row>
    <row r="37" spans="13:25" x14ac:dyDescent="0.3">
      <c r="M37">
        <v>1.27</v>
      </c>
      <c r="N37">
        <v>8.0000000000000002E-3</v>
      </c>
      <c r="O37">
        <f>M37*0.000001*3600*1000</f>
        <v>4.5720000000000001</v>
      </c>
      <c r="P37">
        <f>LOG(O37)</f>
        <v>0.66010622172324418</v>
      </c>
      <c r="Q37">
        <f>N37</f>
        <v>8.0000000000000002E-3</v>
      </c>
    </row>
    <row r="38" spans="13:25" x14ac:dyDescent="0.3">
      <c r="M38">
        <v>1.5</v>
      </c>
      <c r="N38">
        <v>0.01</v>
      </c>
      <c r="O38">
        <f>M38*0.000001*3600*1000</f>
        <v>5.4</v>
      </c>
      <c r="P38">
        <f>LOG(O38)</f>
        <v>0.7323937598229685</v>
      </c>
      <c r="Q38">
        <f>N38</f>
        <v>0.01</v>
      </c>
    </row>
    <row r="39" spans="13:25" x14ac:dyDescent="0.3">
      <c r="M39">
        <v>2.4300000000000002</v>
      </c>
      <c r="N39">
        <v>1.4999999999999999E-2</v>
      </c>
      <c r="O39">
        <f>M39*0.000001*3600*1000</f>
        <v>8.7480000000000011</v>
      </c>
      <c r="P39">
        <f>LOG(O39)</f>
        <v>0.9419087743655995</v>
      </c>
      <c r="Q39">
        <f>N39</f>
        <v>1.4999999999999999E-2</v>
      </c>
    </row>
    <row r="40" spans="13:25" x14ac:dyDescent="0.3">
      <c r="M40">
        <v>1.97</v>
      </c>
      <c r="N40">
        <v>0.02</v>
      </c>
      <c r="O40">
        <f>M40*0.000001*3600*1000</f>
        <v>7.0919999999999996</v>
      </c>
      <c r="P40">
        <f>LOG(O40)</f>
        <v>0.85076872692888017</v>
      </c>
      <c r="Q40">
        <f>N40</f>
        <v>0.02</v>
      </c>
    </row>
    <row r="41" spans="13:25" x14ac:dyDescent="0.3">
      <c r="M41">
        <v>2.08</v>
      </c>
      <c r="N41">
        <v>1.7999999999999999E-2</v>
      </c>
      <c r="O41">
        <f>M41*0.000001*3600*1000</f>
        <v>7.4879999999999995</v>
      </c>
      <c r="P41">
        <f>LOG(O41)</f>
        <v>0.87436583573004878</v>
      </c>
      <c r="Q41">
        <f>N41</f>
        <v>1.7999999999999999E-2</v>
      </c>
    </row>
    <row r="42" spans="13:25" x14ac:dyDescent="0.3">
      <c r="M42">
        <v>1.04</v>
      </c>
      <c r="N42">
        <v>2.4E-2</v>
      </c>
      <c r="O42">
        <f>M42*0.000001*3600*1000</f>
        <v>3.7439999999999998</v>
      </c>
      <c r="P42">
        <f>LOG(O42)</f>
        <v>0.57333584006606764</v>
      </c>
      <c r="Q42">
        <f>N42</f>
        <v>2.4E-2</v>
      </c>
      <c r="U42" t="s">
        <v>72</v>
      </c>
      <c r="V42" t="s">
        <v>55</v>
      </c>
      <c r="W42" t="s">
        <v>71</v>
      </c>
    </row>
    <row r="43" spans="13:25" x14ac:dyDescent="0.3">
      <c r="M43">
        <v>1.5</v>
      </c>
      <c r="N43">
        <v>2.7E-2</v>
      </c>
      <c r="O43">
        <f>M43*0.000001*3600*1000</f>
        <v>5.4</v>
      </c>
      <c r="P43">
        <f>LOG(O43)</f>
        <v>0.7323937598229685</v>
      </c>
      <c r="Q43">
        <f>N43</f>
        <v>2.7E-2</v>
      </c>
      <c r="S43" t="s">
        <v>73</v>
      </c>
      <c r="T43">
        <v>0.5</v>
      </c>
      <c r="U43">
        <v>0.03</v>
      </c>
      <c r="V43">
        <v>1.5</v>
      </c>
      <c r="W43">
        <f>1-1/V43</f>
        <v>0.33333333333333337</v>
      </c>
    </row>
    <row r="44" spans="13:25" x14ac:dyDescent="0.3">
      <c r="M44">
        <v>1.62</v>
      </c>
      <c r="N44">
        <v>2.5000000000000001E-2</v>
      </c>
      <c r="O44">
        <f>M44*0.000001*3600*1000</f>
        <v>5.8319999999999999</v>
      </c>
      <c r="P44">
        <f>LOG(O44)</f>
        <v>0.76581751530991815</v>
      </c>
      <c r="Q44">
        <f>N44</f>
        <v>2.5000000000000001E-2</v>
      </c>
      <c r="S44" t="s">
        <v>74</v>
      </c>
      <c r="T44">
        <v>0.05</v>
      </c>
    </row>
    <row r="45" spans="13:25" x14ac:dyDescent="0.3">
      <c r="M45">
        <v>41.2</v>
      </c>
      <c r="N45">
        <v>3.2000000000000001E-2</v>
      </c>
      <c r="O45">
        <f>M45*0.000001*3600*1000</f>
        <v>148.32</v>
      </c>
      <c r="P45">
        <f>LOG(O45)</f>
        <v>2.1711997168004218</v>
      </c>
      <c r="Q45">
        <f>N45</f>
        <v>3.2000000000000001E-2</v>
      </c>
      <c r="U45" t="s">
        <v>50</v>
      </c>
      <c r="V45" t="s">
        <v>77</v>
      </c>
      <c r="X45" t="s">
        <v>79</v>
      </c>
    </row>
    <row r="46" spans="13:25" x14ac:dyDescent="0.3">
      <c r="M46">
        <v>86.1</v>
      </c>
      <c r="N46">
        <v>3.1E-2</v>
      </c>
      <c r="O46">
        <f>M46*0.000001*3600*1000</f>
        <v>309.95999999999998</v>
      </c>
      <c r="P46">
        <f>LOG(O46)</f>
        <v>2.4913056522209418</v>
      </c>
      <c r="Q46">
        <f>N46</f>
        <v>3.1E-2</v>
      </c>
      <c r="T46">
        <v>0.3</v>
      </c>
      <c r="U46">
        <f>(T46-$T$44)/($T$43-$T$44)</f>
        <v>0.55555555555555558</v>
      </c>
      <c r="V46">
        <f>1/U46</f>
        <v>1.7999999999999998</v>
      </c>
      <c r="W46">
        <f>(V46^(1/W43)-1)</f>
        <v>4.8319999999999972</v>
      </c>
      <c r="X46">
        <f>-(W46^(1/V43))/U43/100</f>
        <v>-0.95271578829710435</v>
      </c>
      <c r="Y46" t="s">
        <v>78</v>
      </c>
    </row>
    <row r="48" spans="13:25" x14ac:dyDescent="0.3">
      <c r="X48">
        <f>T44+(T43-T44)*((1+(U43*ABS(X46*100))^V43)^-W43)</f>
        <v>0.30000000000000004</v>
      </c>
    </row>
  </sheetData>
  <sortState xmlns:xlrd2="http://schemas.microsoft.com/office/spreadsheetml/2017/richdata2" ref="I6:P17">
    <sortCondition ref="L6:L17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Props1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Victor Jetten</cp:lastModifiedBy>
  <dcterms:created xsi:type="dcterms:W3CDTF">2023-05-11T10:01:51Z</dcterms:created>
  <dcterms:modified xsi:type="dcterms:W3CDTF">2023-08-31T09:46:56Z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