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gc\lisemgit\openlisem\auxfiles\"/>
    </mc:Choice>
  </mc:AlternateContent>
  <xr:revisionPtr revIDLastSave="0" documentId="13_ncr:1_{8C7D2AE3-4898-488E-8508-8EEE25982C54}" xr6:coauthVersionLast="47" xr6:coauthVersionMax="47" xr10:uidLastSave="{00000000-0000-0000-0000-000000000000}"/>
  <bookViews>
    <workbookView xWindow="-108" yWindow="-108" windowWidth="30936" windowHeight="16896" activeTab="1" xr2:uid="{EE7E3014-B43F-4E75-BCA9-657834F4F7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5" i="2"/>
  <c r="G26" i="2"/>
  <c r="G27" i="2"/>
  <c r="G28" i="2"/>
  <c r="H28" i="2" s="1"/>
  <c r="I28" i="2" s="1"/>
  <c r="G29" i="2"/>
  <c r="H29" i="2" s="1"/>
  <c r="I29" i="2" s="1"/>
  <c r="G30" i="2"/>
  <c r="H30" i="2" s="1"/>
  <c r="I30" i="2" s="1"/>
  <c r="G31" i="2"/>
  <c r="H31" i="2" s="1"/>
  <c r="I31" i="2" s="1"/>
  <c r="G32" i="2"/>
  <c r="H32" i="2" s="1"/>
  <c r="I32" i="2" s="1"/>
  <c r="H24" i="2"/>
  <c r="I24" i="2" s="1"/>
  <c r="H25" i="2"/>
  <c r="I25" i="2" s="1"/>
  <c r="H26" i="2"/>
  <c r="I26" i="2" s="1"/>
  <c r="H27" i="2"/>
  <c r="I27" i="2" s="1"/>
  <c r="E32" i="2"/>
  <c r="F32" i="2"/>
  <c r="E26" i="2"/>
  <c r="F26" i="2"/>
  <c r="E27" i="2"/>
  <c r="F27" i="2"/>
  <c r="E28" i="2"/>
  <c r="F28" i="2"/>
  <c r="E29" i="2"/>
  <c r="F29" i="2" s="1"/>
  <c r="E25" i="2"/>
  <c r="F25" i="2"/>
  <c r="F24" i="2"/>
  <c r="X20" i="2"/>
  <c r="U20" i="2"/>
  <c r="W20" i="2" s="1"/>
  <c r="T20" i="2"/>
  <c r="S20" i="2"/>
  <c r="R20" i="2"/>
  <c r="O20" i="2"/>
  <c r="N20" i="2"/>
  <c r="V20" i="2" s="1"/>
  <c r="M20" i="2"/>
  <c r="C20" i="2"/>
  <c r="B20" i="2"/>
  <c r="X19" i="2"/>
  <c r="W19" i="2"/>
  <c r="V19" i="2"/>
  <c r="U19" i="2"/>
  <c r="T19" i="2"/>
  <c r="S19" i="2"/>
  <c r="R19" i="2"/>
  <c r="Q19" i="2"/>
  <c r="O19" i="2"/>
  <c r="N19" i="2"/>
  <c r="M19" i="2"/>
  <c r="B19" i="2"/>
  <c r="C19" i="2" s="1"/>
  <c r="X18" i="2"/>
  <c r="V18" i="2"/>
  <c r="U18" i="2"/>
  <c r="W18" i="2" s="1"/>
  <c r="S18" i="2"/>
  <c r="Q18" i="2"/>
  <c r="O18" i="2"/>
  <c r="R18" i="2" s="1"/>
  <c r="N18" i="2"/>
  <c r="M18" i="2"/>
  <c r="B18" i="2"/>
  <c r="C18" i="2" s="1"/>
  <c r="X17" i="2"/>
  <c r="V17" i="2"/>
  <c r="U17" i="2"/>
  <c r="W17" i="2" s="1"/>
  <c r="S17" i="2"/>
  <c r="Q17" i="2"/>
  <c r="O17" i="2"/>
  <c r="T17" i="2" s="1"/>
  <c r="N17" i="2"/>
  <c r="M17" i="2"/>
  <c r="B17" i="2"/>
  <c r="C17" i="2" s="1"/>
  <c r="X16" i="2"/>
  <c r="U16" i="2"/>
  <c r="W16" i="2" s="1"/>
  <c r="T16" i="2"/>
  <c r="S16" i="2"/>
  <c r="Q16" i="2"/>
  <c r="O16" i="2"/>
  <c r="R16" i="2" s="1"/>
  <c r="N16" i="2"/>
  <c r="V16" i="2" s="1"/>
  <c r="M16" i="2"/>
  <c r="B16" i="2"/>
  <c r="C16" i="2" s="1"/>
  <c r="X15" i="2"/>
  <c r="W15" i="2"/>
  <c r="U15" i="2"/>
  <c r="T15" i="2"/>
  <c r="S15" i="2"/>
  <c r="R15" i="2"/>
  <c r="Q15" i="2"/>
  <c r="O15" i="2"/>
  <c r="N15" i="2"/>
  <c r="V15" i="2" s="1"/>
  <c r="M15" i="2"/>
  <c r="B15" i="2"/>
  <c r="C15" i="2" s="1"/>
  <c r="X14" i="2"/>
  <c r="W14" i="2"/>
  <c r="U14" i="2"/>
  <c r="S14" i="2"/>
  <c r="Q14" i="2"/>
  <c r="O14" i="2"/>
  <c r="T14" i="2" s="1"/>
  <c r="N14" i="2"/>
  <c r="V14" i="2" s="1"/>
  <c r="M14" i="2"/>
  <c r="B14" i="2"/>
  <c r="C14" i="2" s="1"/>
  <c r="X13" i="2"/>
  <c r="W13" i="2"/>
  <c r="V13" i="2"/>
  <c r="U13" i="2"/>
  <c r="S13" i="2"/>
  <c r="Q13" i="2"/>
  <c r="O13" i="2"/>
  <c r="T13" i="2" s="1"/>
  <c r="N13" i="2"/>
  <c r="M13" i="2"/>
  <c r="B13" i="2"/>
  <c r="C13" i="2" s="1"/>
  <c r="X12" i="2"/>
  <c r="V12" i="2"/>
  <c r="U12" i="2"/>
  <c r="W12" i="2" s="1"/>
  <c r="S12" i="2"/>
  <c r="Q12" i="2"/>
  <c r="O12" i="2"/>
  <c r="R12" i="2" s="1"/>
  <c r="N12" i="2"/>
  <c r="M12" i="2"/>
  <c r="B12" i="2"/>
  <c r="C12" i="2" s="1"/>
  <c r="X11" i="2"/>
  <c r="U11" i="2"/>
  <c r="W11" i="2" s="1"/>
  <c r="T11" i="2"/>
  <c r="S11" i="2"/>
  <c r="R11" i="2"/>
  <c r="Q11" i="2"/>
  <c r="O11" i="2"/>
  <c r="N11" i="2"/>
  <c r="V11" i="2" s="1"/>
  <c r="M11" i="2"/>
  <c r="B11" i="2"/>
  <c r="C11" i="2" s="1"/>
  <c r="X10" i="2"/>
  <c r="W10" i="2"/>
  <c r="U10" i="2"/>
  <c r="T10" i="2"/>
  <c r="S10" i="2"/>
  <c r="R10" i="2"/>
  <c r="Q10" i="2"/>
  <c r="O10" i="2"/>
  <c r="N10" i="2"/>
  <c r="V10" i="2" s="1"/>
  <c r="M10" i="2"/>
  <c r="B10" i="2"/>
  <c r="C10" i="2" s="1"/>
  <c r="G8" i="1"/>
  <c r="AA51" i="1"/>
  <c r="AA52" i="1" s="1"/>
  <c r="AA53" i="1" s="1"/>
  <c r="AA54" i="1" s="1"/>
  <c r="R9" i="1"/>
  <c r="R10" i="1"/>
  <c r="R11" i="1"/>
  <c r="R12" i="1"/>
  <c r="R13" i="1"/>
  <c r="R14" i="1"/>
  <c r="R15" i="1"/>
  <c r="R16" i="1"/>
  <c r="R17" i="1"/>
  <c r="R18" i="1"/>
  <c r="R8" i="1"/>
  <c r="AC8" i="1"/>
  <c r="AC9" i="1"/>
  <c r="AC10" i="1"/>
  <c r="AC11" i="1"/>
  <c r="AC12" i="1"/>
  <c r="AC13" i="1"/>
  <c r="AC14" i="1"/>
  <c r="AC15" i="1"/>
  <c r="AC16" i="1"/>
  <c r="AC17" i="1"/>
  <c r="AC1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H8" i="1"/>
  <c r="X15" i="1"/>
  <c r="T9" i="1"/>
  <c r="W9" i="1" s="1"/>
  <c r="T10" i="1"/>
  <c r="W10" i="1" s="1"/>
  <c r="T11" i="1"/>
  <c r="W11" i="1" s="1"/>
  <c r="T12" i="1"/>
  <c r="W12" i="1" s="1"/>
  <c r="T13" i="1"/>
  <c r="W13" i="1" s="1"/>
  <c r="T14" i="1"/>
  <c r="W14" i="1" s="1"/>
  <c r="T15" i="1"/>
  <c r="W15" i="1" s="1"/>
  <c r="T16" i="1"/>
  <c r="W16" i="1" s="1"/>
  <c r="T17" i="1"/>
  <c r="W17" i="1" s="1"/>
  <c r="T18" i="1"/>
  <c r="W18" i="1" s="1"/>
  <c r="T8" i="1"/>
  <c r="W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8" i="1"/>
  <c r="AB8" i="1" s="1"/>
  <c r="S9" i="1"/>
  <c r="AA9" i="1" s="1"/>
  <c r="S10" i="1"/>
  <c r="AA10" i="1" s="1"/>
  <c r="S11" i="1"/>
  <c r="AA11" i="1" s="1"/>
  <c r="S12" i="1"/>
  <c r="AA12" i="1" s="1"/>
  <c r="S13" i="1"/>
  <c r="AA13" i="1" s="1"/>
  <c r="S14" i="1"/>
  <c r="AA14" i="1" s="1"/>
  <c r="S15" i="1"/>
  <c r="AA15" i="1" s="1"/>
  <c r="S16" i="1"/>
  <c r="AA16" i="1" s="1"/>
  <c r="S17" i="1"/>
  <c r="AA17" i="1" s="1"/>
  <c r="S18" i="1"/>
  <c r="AA18" i="1" s="1"/>
  <c r="S8" i="1"/>
  <c r="AA8" i="1" s="1"/>
  <c r="E30" i="2" l="1"/>
  <c r="R13" i="2"/>
  <c r="T18" i="2"/>
  <c r="R14" i="2"/>
  <c r="R17" i="2"/>
  <c r="T12" i="2"/>
  <c r="Q20" i="2"/>
  <c r="X12" i="1"/>
  <c r="Y11" i="1"/>
  <c r="Y8" i="1"/>
  <c r="Y10" i="1"/>
  <c r="Y18" i="1"/>
  <c r="X14" i="1"/>
  <c r="X16" i="1"/>
  <c r="Y15" i="1"/>
  <c r="X8" i="1"/>
  <c r="X11" i="1"/>
  <c r="Y14" i="1"/>
  <c r="X18" i="1"/>
  <c r="X10" i="1"/>
  <c r="Y17" i="1"/>
  <c r="Y13" i="1"/>
  <c r="Y9" i="1"/>
  <c r="X17" i="1"/>
  <c r="X13" i="1"/>
  <c r="X9" i="1"/>
  <c r="Y16" i="1"/>
  <c r="Y12" i="1"/>
  <c r="V8" i="1"/>
  <c r="V16" i="1"/>
  <c r="V12" i="1"/>
  <c r="V15" i="1"/>
  <c r="V11" i="1"/>
  <c r="V18" i="1"/>
  <c r="V14" i="1"/>
  <c r="V10" i="1"/>
  <c r="V17" i="1"/>
  <c r="V13" i="1"/>
  <c r="V9" i="1"/>
  <c r="F30" i="2" l="1"/>
  <c r="E31" i="2"/>
  <c r="F31" i="2" s="1"/>
</calcChain>
</file>

<file path=xl/sharedStrings.xml><?xml version="1.0" encoding="utf-8"?>
<sst xmlns="http://schemas.openxmlformats.org/spreadsheetml/2006/main" count="114" uniqueCount="53">
  <si>
    <t>Sand</t>
  </si>
  <si>
    <t>Loamy sand</t>
  </si>
  <si>
    <t>Sandy loam</t>
  </si>
  <si>
    <t>Loam</t>
  </si>
  <si>
    <t>Silt loam</t>
  </si>
  <si>
    <t>Sandy clay loam</t>
  </si>
  <si>
    <t>Clay loam</t>
  </si>
  <si>
    <t>Silty clay loam</t>
  </si>
  <si>
    <t>Sandy clay</t>
  </si>
  <si>
    <t>Silty clay</t>
  </si>
  <si>
    <t>Clay</t>
  </si>
  <si>
    <t>cation</t>
  </si>
  <si>
    <t>Total Porosity/Saturation  </t>
  </si>
  <si>
    <r>
      <t>θ</t>
    </r>
    <r>
      <rPr>
        <vertAlign val="subscript"/>
        <sz val="11"/>
        <color theme="1"/>
        <rFont val="Calibri"/>
        <family val="2"/>
        <scheme val="minor"/>
      </rPr>
      <t>s</t>
    </r>
  </si>
  <si>
    <r>
      <t>  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</si>
  <si>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Effective Porosity/Saturation  </t>
  </si>
  <si>
    <r>
      <t>θ</t>
    </r>
    <r>
      <rPr>
        <vertAlign val="subscript"/>
        <sz val="11"/>
        <color theme="1"/>
        <rFont val="Calibri"/>
        <family val="2"/>
        <scheme val="minor"/>
      </rPr>
      <t>e</t>
    </r>
  </si>
  <si>
    <t>Field Capacity Saturation  </t>
  </si>
  <si>
    <r>
      <t>θ</t>
    </r>
    <r>
      <rPr>
        <vertAlign val="subscript"/>
        <sz val="11"/>
        <color theme="1"/>
        <rFont val="Calibri"/>
        <family val="2"/>
        <scheme val="minor"/>
      </rPr>
      <t>f</t>
    </r>
  </si>
  <si>
    <t>Wilting Point Saturation  </t>
  </si>
  <si>
    <r>
      <t>θ</t>
    </r>
    <r>
      <rPr>
        <vertAlign val="subscript"/>
        <sz val="11"/>
        <color theme="1"/>
        <rFont val="Calibri"/>
        <family val="2"/>
        <scheme val="minor"/>
      </rPr>
      <t>wp</t>
    </r>
  </si>
  <si>
    <t>Residual Saturation  </t>
  </si>
  <si>
    <r>
      <t>θ</t>
    </r>
    <r>
      <rPr>
        <vertAlign val="subscript"/>
        <sz val="11"/>
        <color theme="1"/>
        <rFont val="Calibri"/>
        <family val="2"/>
        <scheme val="minor"/>
      </rPr>
      <t>r</t>
    </r>
  </si>
  <si>
    <t>Bubbling Pressure Geometric Mean  </t>
  </si>
  <si>
    <t>b</t>
  </si>
  <si>
    <t>(cm)</t>
  </si>
  <si>
    <t>Pore Size Distribution Arithmetic Mean  </t>
  </si>
  <si>
    <t>λ</t>
  </si>
  <si>
    <t>  (cm/cm)</t>
  </si>
  <si>
    <t>Saturated Hydraulic Conductivity (multiply by 0.5 for GA methods)  </t>
  </si>
  <si>
    <r>
      <t>K</t>
    </r>
    <r>
      <rPr>
        <vertAlign val="subscript"/>
        <sz val="11"/>
        <color theme="1"/>
        <rFont val="Calibri"/>
        <family val="2"/>
        <scheme val="minor"/>
      </rPr>
      <t>s</t>
    </r>
  </si>
  <si>
    <t>(cm/h)</t>
  </si>
  <si>
    <t>Wetting Front Suction Head (Capillary Head)  </t>
  </si>
  <si>
    <t>ƒ</t>
  </si>
  <si>
    <t>https://www.gsshawiki.com/Infiltration:Parameter_Estimates</t>
  </si>
  <si>
    <t>ks</t>
  </si>
  <si>
    <t>mm/h</t>
  </si>
  <si>
    <t>psi</t>
  </si>
  <si>
    <t>cm</t>
  </si>
  <si>
    <t>logks</t>
  </si>
  <si>
    <t>logpsi</t>
  </si>
  <si>
    <r>
      <t xml:space="preserve">Rawls, W. J., Brakensiek, D. L., and Saxton, K. E. (1982). “Estimation of soil water properties,” </t>
    </r>
    <r>
      <rPr>
        <b/>
        <i/>
        <sz val="11"/>
        <color theme="1"/>
        <rFont val="Calibri"/>
        <family val="2"/>
        <scheme val="minor"/>
      </rPr>
      <t>Trans. of ASAE.</t>
    </r>
    <r>
      <rPr>
        <b/>
        <sz val="11"/>
        <color theme="1"/>
        <rFont val="Calibri"/>
        <family val="2"/>
        <scheme val="minor"/>
      </rPr>
      <t xml:space="preserve"> 1316-1320.</t>
    </r>
  </si>
  <si>
    <t>ks (mm/h)</t>
  </si>
  <si>
    <t>ks mm/h</t>
  </si>
  <si>
    <t>ln(ks)</t>
  </si>
  <si>
    <t>lambda</t>
  </si>
  <si>
    <t>ln(lambda)</t>
  </si>
  <si>
    <t>ln(psi)</t>
  </si>
  <si>
    <t>ln(bub)</t>
  </si>
  <si>
    <t>ln(thetar)</t>
  </si>
  <si>
    <t>se</t>
  </si>
  <si>
    <t>h (cm)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</si>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</sst>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  <xf numFmtId="0" fontId="4" fillId="0" borderId="0" xfId="0" applyFont="1"/>
    <xf numFmtId="0" fontId="0" fillId="2" borderId="1" xfId="0" applyFill="1" applyBorder="1"/>
    <xf numFmtId="0" fontId="0" fillId="2" borderId="2" xfId="0" applyFill="1" applyBorder="1"/>
    <xf numFmtId="2" fontId="0" fillId="0" borderId="3" xfId="0" applyNumberFormat="1" applyBorder="1" applyAlignment="1">
      <alignment horizontal="left" vertical="center" wrapText="1"/>
    </xf>
    <xf numFmtId="2" fontId="0" fillId="0" borderId="5" xfId="0" applyNumberFormat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164" fontId="0" fillId="0" borderId="6" xfId="0" applyNumberFormat="1" applyBorder="1" applyAlignment="1">
      <alignment horizontal="left" vertical="center" wrapText="1"/>
    </xf>
    <xf numFmtId="11" fontId="0" fillId="0" borderId="0" xfId="0" applyNumberForma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ln(lambda)=f(ln(ks))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076399825021871"/>
                  <c:y val="4.92585301837270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Sheet1!$AA$8:$AA$18</c:f>
              <c:numCache>
                <c:formatCode>General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Sheet1!$AB$8:$AB$18</c:f>
              <c:numCache>
                <c:formatCode>General</c:formatCode>
                <c:ptCount val="11"/>
                <c:pt idx="0">
                  <c:v>-0.36528331847533263</c:v>
                </c:pt>
                <c:pt idx="1">
                  <c:v>-0.5923972774598022</c:v>
                </c:pt>
                <c:pt idx="2">
                  <c:v>-0.97286108336254939</c:v>
                </c:pt>
                <c:pt idx="3">
                  <c:v>-1.3783261914707137</c:v>
                </c:pt>
                <c:pt idx="4">
                  <c:v>-1.4524341636244356</c:v>
                </c:pt>
                <c:pt idx="5">
                  <c:v>-1.1425641761972924</c:v>
                </c:pt>
                <c:pt idx="6">
                  <c:v>-1.4188175528254507</c:v>
                </c:pt>
                <c:pt idx="7">
                  <c:v>-1.731605546408308</c:v>
                </c:pt>
                <c:pt idx="8">
                  <c:v>-1.5005835075220182</c:v>
                </c:pt>
                <c:pt idx="9">
                  <c:v>-1.8971199848858813</c:v>
                </c:pt>
                <c:pt idx="10">
                  <c:v>-1.8018098050815563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6-46D0-A747-C41E0855C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901871"/>
        <c:axId val="918899471"/>
      </c:scatterChart>
      <c:valAx>
        <c:axId val="9189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899471"/>
        <c:crosses val="autoZero"/>
        <c:crossBetween val="midCat"/>
      </c:valAx>
      <c:valAx>
        <c:axId val="91889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90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psi wetting</a:t>
            </a:r>
            <a:r>
              <a:rPr lang="en-GB" baseline="0"/>
              <a:t> front log-log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0669444444444443"/>
          <c:y val="0.16708333333333336"/>
          <c:w val="0.85641666666666671"/>
          <c:h val="0.622716170895304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221587926509186"/>
                  <c:y val="3.63444152814231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Sheet1!$V$8:$V$18</c:f>
              <c:numCache>
                <c:formatCode>General</c:formatCode>
                <c:ptCount val="11"/>
                <c:pt idx="0">
                  <c:v>2.372175286115064</c:v>
                </c:pt>
                <c:pt idx="1">
                  <c:v>1.7767011839884108</c:v>
                </c:pt>
                <c:pt idx="2">
                  <c:v>1.3384564936046048</c:v>
                </c:pt>
                <c:pt idx="3">
                  <c:v>1.1205739312058498</c:v>
                </c:pt>
                <c:pt idx="4">
                  <c:v>0.83250891270623639</c:v>
                </c:pt>
                <c:pt idx="5">
                  <c:v>0.47712125471966244</c:v>
                </c:pt>
                <c:pt idx="6">
                  <c:v>0.3010299956639812</c:v>
                </c:pt>
                <c:pt idx="7">
                  <c:v>0.3010299956639812</c:v>
                </c:pt>
                <c:pt idx="8">
                  <c:v>7.9181246047624818E-2</c:v>
                </c:pt>
                <c:pt idx="9">
                  <c:v>0</c:v>
                </c:pt>
                <c:pt idx="10">
                  <c:v>-0.22184874961635639</c:v>
                </c:pt>
              </c:numCache>
            </c:numRef>
          </c:xVal>
          <c:yVal>
            <c:numRef>
              <c:f>Sheet1!$W$8:$W$18</c:f>
              <c:numCache>
                <c:formatCode>General</c:formatCode>
                <c:ptCount val="11"/>
                <c:pt idx="0">
                  <c:v>0.69460519893356876</c:v>
                </c:pt>
                <c:pt idx="1">
                  <c:v>0.78746047451841505</c:v>
                </c:pt>
                <c:pt idx="2">
                  <c:v>1.0417873189717517</c:v>
                </c:pt>
                <c:pt idx="3">
                  <c:v>0.94890176097021373</c:v>
                </c:pt>
                <c:pt idx="4">
                  <c:v>1.2221960463017199</c:v>
                </c:pt>
                <c:pt idx="5">
                  <c:v>1.3394514413064407</c:v>
                </c:pt>
                <c:pt idx="6">
                  <c:v>1.3197304943302246</c:v>
                </c:pt>
                <c:pt idx="7">
                  <c:v>1.436162647040756</c:v>
                </c:pt>
                <c:pt idx="8">
                  <c:v>1.3783979009481377</c:v>
                </c:pt>
                <c:pt idx="9">
                  <c:v>1.4656802115982779</c:v>
                </c:pt>
                <c:pt idx="10">
                  <c:v>1.5000991919157229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D-499B-A170-78D1723F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202912"/>
        <c:axId val="349205312"/>
      </c:scatterChart>
      <c:valAx>
        <c:axId val="34920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 (ks mm/h)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9205312"/>
        <c:crosses val="autoZero"/>
        <c:crossBetween val="midCat"/>
      </c:valAx>
      <c:valAx>
        <c:axId val="3492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</a:t>
                </a:r>
              </a:p>
              <a:p>
                <a:pPr>
                  <a:defRPr/>
                </a:pPr>
                <a:r>
                  <a:rPr lang="en-US"/>
                  <a:t>(psi 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920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ln()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31955380577426"/>
                  <c:y val="3.64887722368037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Sheet1!$X$8:$X$18</c:f>
              <c:numCache>
                <c:formatCode>General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Sheet1!$Y$8:$Y$18</c:f>
              <c:numCache>
                <c:formatCode>General</c:formatCode>
                <c:ptCount val="11"/>
                <c:pt idx="0">
                  <c:v>1.5993875765805989</c:v>
                </c:pt>
                <c:pt idx="1">
                  <c:v>1.81319474994812</c:v>
                </c:pt>
                <c:pt idx="2">
                  <c:v>2.3988039507345884</c:v>
                </c:pt>
                <c:pt idx="3">
                  <c:v>2.1849270495258133</c:v>
                </c:pt>
                <c:pt idx="4">
                  <c:v>2.8142103969306005</c:v>
                </c:pt>
                <c:pt idx="5">
                  <c:v>3.0842009215415991</c:v>
                </c:pt>
                <c:pt idx="6">
                  <c:v>3.0387917630144381</c:v>
                </c:pt>
                <c:pt idx="7">
                  <c:v>3.3068867021909143</c:v>
                </c:pt>
                <c:pt idx="8">
                  <c:v>3.1738784589374651</c:v>
                </c:pt>
                <c:pt idx="9">
                  <c:v>3.3748534063225533</c:v>
                </c:pt>
                <c:pt idx="10">
                  <c:v>3.4541060373175574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2-4484-B203-243E53108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76368"/>
        <c:axId val="348374448"/>
      </c:scatterChart>
      <c:valAx>
        <c:axId val="34837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8374448"/>
        <c:crosses val="autoZero"/>
        <c:crossBetween val="midCat"/>
      </c:valAx>
      <c:valAx>
        <c:axId val="3483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837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lambda = a*ln(Ks) + b</a:t>
            </a:r>
          </a:p>
        </c:rich>
      </c:tx>
      <c:layout>
        <c:manualLayout>
          <c:xMode val="edge"/>
          <c:yMode val="edge"/>
          <c:x val="0.3956041119860018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319466316710411"/>
                  <c:y val="-9.76942986293379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Sheet1!$H$8:$H$18</c:f>
              <c:numCache>
                <c:formatCode>0.000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Sheet1!$O$8:$O$18</c:f>
              <c:numCache>
                <c:formatCode>General</c:formatCode>
                <c:ptCount val="11"/>
                <c:pt idx="0">
                  <c:v>0.69399999999999995</c:v>
                </c:pt>
                <c:pt idx="1">
                  <c:v>0.55300000000000005</c:v>
                </c:pt>
                <c:pt idx="2">
                  <c:v>0.378</c:v>
                </c:pt>
                <c:pt idx="3">
                  <c:v>0.252</c:v>
                </c:pt>
                <c:pt idx="4">
                  <c:v>0.23400000000000001</c:v>
                </c:pt>
                <c:pt idx="5">
                  <c:v>0.31900000000000001</c:v>
                </c:pt>
                <c:pt idx="6">
                  <c:v>0.24199999999999999</c:v>
                </c:pt>
                <c:pt idx="7">
                  <c:v>0.17699999999999999</c:v>
                </c:pt>
                <c:pt idx="8">
                  <c:v>0.223</c:v>
                </c:pt>
                <c:pt idx="9">
                  <c:v>0.15</c:v>
                </c:pt>
                <c:pt idx="10">
                  <c:v>0.16500000000000001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0-4ED2-9A40-C47BC5BA3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40672"/>
        <c:axId val="564138272"/>
      </c:scatterChart>
      <c:valAx>
        <c:axId val="56414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64138272"/>
        <c:crosses val="autoZero"/>
        <c:crossBetween val="midCat"/>
      </c:valAx>
      <c:valAx>
        <c:axId val="5641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6414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field capacity = ln(ks)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3493000874890636E-2"/>
          <c:y val="0.17171296296296298"/>
          <c:w val="0.9223958880139983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398622047244093"/>
                  <c:y val="-4.11960484106153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Sheet1!$H$8:$H$18</c:f>
              <c:numCache>
                <c:formatCode>0.000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Sheet1!$K$8:$K$18</c:f>
              <c:numCache>
                <c:formatCode>General</c:formatCode>
                <c:ptCount val="11"/>
                <c:pt idx="0">
                  <c:v>9.0999999999999998E-2</c:v>
                </c:pt>
                <c:pt idx="1">
                  <c:v>0.125</c:v>
                </c:pt>
                <c:pt idx="2">
                  <c:v>0.20699999999999999</c:v>
                </c:pt>
                <c:pt idx="3">
                  <c:v>0.27</c:v>
                </c:pt>
                <c:pt idx="4">
                  <c:v>0.33</c:v>
                </c:pt>
                <c:pt idx="5">
                  <c:v>0.255</c:v>
                </c:pt>
                <c:pt idx="6">
                  <c:v>0.318</c:v>
                </c:pt>
                <c:pt idx="7">
                  <c:v>0.36599999999999999</c:v>
                </c:pt>
                <c:pt idx="8">
                  <c:v>0.33900000000000002</c:v>
                </c:pt>
                <c:pt idx="9">
                  <c:v>0.38700000000000001</c:v>
                </c:pt>
                <c:pt idx="10">
                  <c:v>0.39600000000000002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F-46DA-B82E-7374D37AC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086688"/>
        <c:axId val="556251872"/>
      </c:scatterChart>
      <c:valAx>
        <c:axId val="156408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56251872"/>
        <c:crosses val="autoZero"/>
        <c:crossBetween val="midCat"/>
      </c:valAx>
      <c:valAx>
        <c:axId val="5562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6408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Sheet1!$V$8:$V$18</c:f>
              <c:numCache>
                <c:formatCode>General</c:formatCode>
                <c:ptCount val="11"/>
                <c:pt idx="0">
                  <c:v>2.372175286115064</c:v>
                </c:pt>
                <c:pt idx="1">
                  <c:v>1.7767011839884108</c:v>
                </c:pt>
                <c:pt idx="2">
                  <c:v>1.3384564936046048</c:v>
                </c:pt>
                <c:pt idx="3">
                  <c:v>1.1205739312058498</c:v>
                </c:pt>
                <c:pt idx="4">
                  <c:v>0.83250891270623639</c:v>
                </c:pt>
                <c:pt idx="5">
                  <c:v>0.47712125471966244</c:v>
                </c:pt>
                <c:pt idx="6">
                  <c:v>0.3010299956639812</c:v>
                </c:pt>
                <c:pt idx="7">
                  <c:v>0.3010299956639812</c:v>
                </c:pt>
                <c:pt idx="8">
                  <c:v>7.9181246047624818E-2</c:v>
                </c:pt>
                <c:pt idx="9">
                  <c:v>0</c:v>
                </c:pt>
                <c:pt idx="10">
                  <c:v>-0.22184874961635639</c:v>
                </c:pt>
              </c:numCache>
            </c:numRef>
          </c:xVal>
          <c:yVal>
            <c:numRef>
              <c:f>Sheet1!$W$8:$W$18</c:f>
              <c:numCache>
                <c:formatCode>General</c:formatCode>
                <c:ptCount val="11"/>
                <c:pt idx="0">
                  <c:v>0.69460519893356876</c:v>
                </c:pt>
                <c:pt idx="1">
                  <c:v>0.78746047451841505</c:v>
                </c:pt>
                <c:pt idx="2">
                  <c:v>1.0417873189717517</c:v>
                </c:pt>
                <c:pt idx="3">
                  <c:v>0.94890176097021373</c:v>
                </c:pt>
                <c:pt idx="4">
                  <c:v>1.2221960463017199</c:v>
                </c:pt>
                <c:pt idx="5">
                  <c:v>1.3394514413064407</c:v>
                </c:pt>
                <c:pt idx="6">
                  <c:v>1.3197304943302246</c:v>
                </c:pt>
                <c:pt idx="7">
                  <c:v>1.436162647040756</c:v>
                </c:pt>
                <c:pt idx="8">
                  <c:v>1.3783979009481377</c:v>
                </c:pt>
                <c:pt idx="9">
                  <c:v>1.4656802115982779</c:v>
                </c:pt>
                <c:pt idx="10">
                  <c:v>1.5000991919157229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1-49F5-A594-6D38762A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82832"/>
        <c:axId val="2130070832"/>
      </c:scatterChart>
      <c:valAx>
        <c:axId val="213008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30070832"/>
        <c:crosses val="autoZero"/>
        <c:crossBetween val="midCat"/>
      </c:valAx>
      <c:valAx>
        <c:axId val="2130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3008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ln(bub) = ln(ks)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097331583552061E-2"/>
                  <c:y val="0.113582677165354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Sheet1!$AA$8:$AA$18</c:f>
              <c:numCache>
                <c:formatCode>General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Sheet1!$AC$8:$AC$18</c:f>
              <c:numCache>
                <c:formatCode>General</c:formatCode>
                <c:ptCount val="11"/>
                <c:pt idx="0">
                  <c:v>1.9823798288367047</c:v>
                </c:pt>
                <c:pt idx="1">
                  <c:v>2.1621729392773008</c:v>
                </c:pt>
                <c:pt idx="2">
                  <c:v>2.6851226964585053</c:v>
                </c:pt>
                <c:pt idx="3">
                  <c:v>2.411439497906128</c:v>
                </c:pt>
                <c:pt idx="4">
                  <c:v>3.0344721018699214</c:v>
                </c:pt>
                <c:pt idx="5">
                  <c:v>3.3350575791576103</c:v>
                </c:pt>
                <c:pt idx="6">
                  <c:v>3.2538567937634464</c:v>
                </c:pt>
                <c:pt idx="7">
                  <c:v>3.4830845411343394</c:v>
                </c:pt>
                <c:pt idx="8">
                  <c:v>3.3731407838796299</c:v>
                </c:pt>
                <c:pt idx="9">
                  <c:v>3.5319332036512097</c:v>
                </c:pt>
                <c:pt idx="10">
                  <c:v>3.6189933266497696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F-4724-8285-2B3418692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120032"/>
        <c:axId val="1774120512"/>
      </c:scatterChart>
      <c:valAx>
        <c:axId val="177412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74120512"/>
        <c:crosses val="autoZero"/>
        <c:crossBetween val="midCat"/>
      </c:valAx>
      <c:valAx>
        <c:axId val="17741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7412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lambda=f(ln(ks))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Sheet1!$X$8:$X$18</c:f>
              <c:numCache>
                <c:formatCode>General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Sheet1!$Z$8:$Z$18</c:f>
              <c:numCache>
                <c:formatCode>General</c:formatCode>
                <c:ptCount val="11"/>
                <c:pt idx="0">
                  <c:v>0.69399999999999995</c:v>
                </c:pt>
                <c:pt idx="1">
                  <c:v>0.55300000000000005</c:v>
                </c:pt>
                <c:pt idx="2">
                  <c:v>0.378</c:v>
                </c:pt>
                <c:pt idx="3">
                  <c:v>0.252</c:v>
                </c:pt>
                <c:pt idx="4">
                  <c:v>0.23400000000000001</c:v>
                </c:pt>
                <c:pt idx="5">
                  <c:v>0.31900000000000001</c:v>
                </c:pt>
                <c:pt idx="6">
                  <c:v>0.24199999999999999</c:v>
                </c:pt>
                <c:pt idx="7">
                  <c:v>0.17699999999999999</c:v>
                </c:pt>
                <c:pt idx="8">
                  <c:v>0.223</c:v>
                </c:pt>
                <c:pt idx="9">
                  <c:v>0.15</c:v>
                </c:pt>
                <c:pt idx="10">
                  <c:v>0.16500000000000001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2-407F-936E-F043C333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85584"/>
        <c:axId val="167440672"/>
      </c:scatterChart>
      <c:valAx>
        <c:axId val="16758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7440672"/>
        <c:crosses val="autoZero"/>
        <c:crossBetween val="midCat"/>
      </c:valAx>
      <c:valAx>
        <c:axId val="1674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758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thetar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075240594925643E-3"/>
                  <c:y val="-0.41454651501895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Sheet1!$H$8:$H$18</c:f>
              <c:numCache>
                <c:formatCode>0.000</c:formatCode>
                <c:ptCount val="11"/>
                <c:pt idx="0">
                  <c:v>5.4621354517774314</c:v>
                </c:pt>
                <c:pt idx="1">
                  <c:v>4.0910056609565864</c:v>
                </c:pt>
                <c:pt idx="2">
                  <c:v>3.0819099697950434</c:v>
                </c:pt>
                <c:pt idx="3">
                  <c:v>2.5802168295923251</c:v>
                </c:pt>
                <c:pt idx="4">
                  <c:v>1.9169226121820611</c:v>
                </c:pt>
                <c:pt idx="5">
                  <c:v>1.0986122886681098</c:v>
                </c:pt>
                <c:pt idx="6">
                  <c:v>0.69314718055994529</c:v>
                </c:pt>
                <c:pt idx="7">
                  <c:v>0.69314718055994529</c:v>
                </c:pt>
                <c:pt idx="8">
                  <c:v>0.18232155679395459</c:v>
                </c:pt>
                <c:pt idx="9">
                  <c:v>0</c:v>
                </c:pt>
                <c:pt idx="10">
                  <c:v>-0.51082562376599072</c:v>
                </c:pt>
              </c:numCache>
            </c:numRef>
          </c:xVal>
          <c:yVal>
            <c:numRef>
              <c:f>Sheet1!$M$8:$M$18</c:f>
              <c:numCache>
                <c:formatCode>General</c:formatCode>
                <c:ptCount val="11"/>
                <c:pt idx="0">
                  <c:v>0.02</c:v>
                </c:pt>
                <c:pt idx="1">
                  <c:v>3.5000000000000003E-2</c:v>
                </c:pt>
                <c:pt idx="2">
                  <c:v>4.1000000000000002E-2</c:v>
                </c:pt>
                <c:pt idx="3">
                  <c:v>2.7E-2</c:v>
                </c:pt>
                <c:pt idx="4">
                  <c:v>1.4999999999999999E-2</c:v>
                </c:pt>
                <c:pt idx="5">
                  <c:v>6.8000000000000005E-2</c:v>
                </c:pt>
                <c:pt idx="6">
                  <c:v>7.4999999999999997E-2</c:v>
                </c:pt>
                <c:pt idx="7">
                  <c:v>0.04</c:v>
                </c:pt>
                <c:pt idx="8">
                  <c:v>0.109</c:v>
                </c:pt>
                <c:pt idx="9">
                  <c:v>5.6000000000000001E-2</c:v>
                </c:pt>
                <c:pt idx="1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3-4776-8BEC-D602FD924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214831"/>
        <c:axId val="2009216271"/>
      </c:scatterChart>
      <c:valAx>
        <c:axId val="20092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09216271"/>
        <c:crosses val="autoZero"/>
        <c:crossBetween val="midCat"/>
      </c:valAx>
      <c:valAx>
        <c:axId val="20092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0921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1.gif"/><Relationship Id="rId1" Type="http://schemas.openxmlformats.org/officeDocument/2006/relationships/hyperlink" Target="https://www.gsshawiki.com/File:Psi.gif" TargetMode="Externa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gsshawiki.com/File:Psi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13</xdr:col>
      <xdr:colOff>171450</xdr:colOff>
      <xdr:row>4</xdr:row>
      <xdr:rowOff>171450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EDF67-40EA-E23A-27A1-563D0946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171450</xdr:colOff>
      <xdr:row>4</xdr:row>
      <xdr:rowOff>171450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9837C-02CA-BE3C-892F-379B7C4B8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6670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23812</xdr:colOff>
      <xdr:row>0</xdr:row>
      <xdr:rowOff>128586</xdr:rowOff>
    </xdr:from>
    <xdr:to>
      <xdr:col>33</xdr:col>
      <xdr:colOff>328612</xdr:colOff>
      <xdr:row>5</xdr:row>
      <xdr:rowOff>342899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33C551-A134-1242-9730-5B762732E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125731</xdr:colOff>
      <xdr:row>27</xdr:row>
      <xdr:rowOff>133350</xdr:rowOff>
    </xdr:from>
    <xdr:to>
      <xdr:col>14</xdr:col>
      <xdr:colOff>230506</xdr:colOff>
      <xdr:row>42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9D041F-FBC6-0CEA-6C6E-42A2BC008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195263</xdr:colOff>
      <xdr:row>13</xdr:row>
      <xdr:rowOff>298131</xdr:rowOff>
    </xdr:from>
    <xdr:to>
      <xdr:col>28</xdr:col>
      <xdr:colOff>500063</xdr:colOff>
      <xdr:row>26</xdr:row>
      <xdr:rowOff>951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A5458C-BCC7-E543-1D38-369E2B29A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100489</xdr:colOff>
      <xdr:row>43</xdr:row>
      <xdr:rowOff>26193</xdr:rowOff>
    </xdr:from>
    <xdr:to>
      <xdr:col>13</xdr:col>
      <xdr:colOff>205264</xdr:colOff>
      <xdr:row>57</xdr:row>
      <xdr:rowOff>102393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845C40-37C8-0533-C7FF-EB8CDBB07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81441</xdr:colOff>
      <xdr:row>50</xdr:row>
      <xdr:rowOff>122873</xdr:rowOff>
    </xdr:from>
    <xdr:to>
      <xdr:col>15</xdr:col>
      <xdr:colOff>386241</xdr:colOff>
      <xdr:row>64</xdr:row>
      <xdr:rowOff>23813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00D210-8F67-8B4E-5F29-08AD93865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53340</xdr:colOff>
      <xdr:row>25</xdr:row>
      <xdr:rowOff>99060</xdr:rowOff>
    </xdr:from>
    <xdr:to>
      <xdr:col>25</xdr:col>
      <xdr:colOff>358140</xdr:colOff>
      <xdr:row>40</xdr:row>
      <xdr:rowOff>99060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2A3BE07-F3ED-414B-408D-BD5E19A4B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21</xdr:row>
      <xdr:rowOff>160020</xdr:rowOff>
    </xdr:from>
    <xdr:to>
      <xdr:col>16</xdr:col>
      <xdr:colOff>304800</xdr:colOff>
      <xdr:row>36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3326B74-A495-F410-0360-1CA732507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259080</xdr:colOff>
      <xdr:row>14</xdr:row>
      <xdr:rowOff>22860</xdr:rowOff>
    </xdr:from>
    <xdr:to>
      <xdr:col>26</xdr:col>
      <xdr:colOff>563880</xdr:colOff>
      <xdr:row>27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E765DF-F950-EBE9-39A3-10C853A2D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45720</xdr:colOff>
      <xdr:row>46</xdr:row>
      <xdr:rowOff>83820</xdr:rowOff>
    </xdr:from>
    <xdr:to>
      <xdr:col>24</xdr:col>
      <xdr:colOff>350520</xdr:colOff>
      <xdr:row>61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E7327E-F6E3-FEBF-543F-08766C4E7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8</xdr:col>
      <xdr:colOff>171450</xdr:colOff>
      <xdr:row>6</xdr:row>
      <xdr:rowOff>171450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53B66-7A1C-4A1A-8217-A5F893DB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5780" y="219456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171450</xdr:colOff>
      <xdr:row>6</xdr:row>
      <xdr:rowOff>171450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770EF-5604-4F6C-ABD4-AB367F98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4580" y="219456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sshawiki.com/Infiltration:Parameter_Estimates" TargetMode="External"/><Relationship Id="rId2" Type="http://schemas.openxmlformats.org/officeDocument/2006/relationships/hyperlink" Target="https://www.gsshawiki.com/File:Psi.gif" TargetMode="External"/><Relationship Id="rId1" Type="http://schemas.openxmlformats.org/officeDocument/2006/relationships/hyperlink" Target="https://www.gsshawiki.com/File:Psi.gi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gsshawiki.com/File:Psi.gif" TargetMode="External"/><Relationship Id="rId1" Type="http://schemas.openxmlformats.org/officeDocument/2006/relationships/hyperlink" Target="https://www.gsshawiki.com/File:Psi.g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A993-96B8-4AA6-8EF4-C236C394CA84}">
  <dimension ref="F1:AC54"/>
  <sheetViews>
    <sheetView topLeftCell="E2" workbookViewId="0">
      <selection activeCell="F8" sqref="F8:F18"/>
    </sheetView>
  </sheetViews>
  <sheetFormatPr defaultRowHeight="14.4" x14ac:dyDescent="0.3"/>
  <cols>
    <col min="8" max="8" width="12.109375" bestFit="1" customWidth="1"/>
  </cols>
  <sheetData>
    <row r="1" spans="6:29" x14ac:dyDescent="0.3">
      <c r="F1" s="4" t="s">
        <v>34</v>
      </c>
      <c r="G1" s="4"/>
      <c r="H1" s="4"/>
    </row>
    <row r="3" spans="6:29" x14ac:dyDescent="0.3">
      <c r="F3" s="5" t="s">
        <v>41</v>
      </c>
      <c r="G3" s="5"/>
      <c r="H3" s="5"/>
    </row>
    <row r="4" spans="6:29" ht="129.6" x14ac:dyDescent="0.3">
      <c r="F4" s="13" t="s">
        <v>11</v>
      </c>
      <c r="G4" s="2" t="s">
        <v>42</v>
      </c>
      <c r="H4" s="2"/>
      <c r="I4" s="2" t="s">
        <v>12</v>
      </c>
      <c r="J4" s="2" t="s">
        <v>15</v>
      </c>
      <c r="K4" s="2" t="s">
        <v>17</v>
      </c>
      <c r="L4" s="2" t="s">
        <v>19</v>
      </c>
      <c r="M4" s="2" t="s">
        <v>21</v>
      </c>
      <c r="N4" s="2" t="s">
        <v>23</v>
      </c>
      <c r="O4" s="2" t="s">
        <v>26</v>
      </c>
      <c r="P4" s="2" t="s">
        <v>29</v>
      </c>
      <c r="Q4" s="2" t="s">
        <v>32</v>
      </c>
    </row>
    <row r="5" spans="6:29" ht="15.6" x14ac:dyDescent="0.3">
      <c r="F5" s="13"/>
      <c r="G5" s="2"/>
      <c r="H5" s="2"/>
      <c r="I5" s="2" t="s">
        <v>13</v>
      </c>
      <c r="J5" s="2" t="s">
        <v>16</v>
      </c>
      <c r="K5" s="2" t="s">
        <v>18</v>
      </c>
      <c r="L5" s="2" t="s">
        <v>20</v>
      </c>
      <c r="M5" s="2" t="s">
        <v>22</v>
      </c>
      <c r="N5" s="3" t="s">
        <v>24</v>
      </c>
      <c r="O5" s="2" t="s">
        <v>27</v>
      </c>
      <c r="P5" s="2" t="s">
        <v>30</v>
      </c>
      <c r="Q5" s="3" t="s">
        <v>33</v>
      </c>
    </row>
    <row r="6" spans="6:29" ht="45" x14ac:dyDescent="0.3">
      <c r="F6" s="13"/>
      <c r="G6" s="2"/>
      <c r="H6" s="2"/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  <c r="N6" s="2" t="s">
        <v>25</v>
      </c>
      <c r="O6" s="2" t="s">
        <v>28</v>
      </c>
      <c r="P6" s="2" t="s">
        <v>31</v>
      </c>
      <c r="Q6" s="2" t="s">
        <v>25</v>
      </c>
      <c r="R6" s="2" t="s">
        <v>49</v>
      </c>
      <c r="S6" s="2" t="s">
        <v>35</v>
      </c>
      <c r="T6" s="2" t="s">
        <v>37</v>
      </c>
      <c r="U6" s="2"/>
      <c r="V6" s="2" t="s">
        <v>39</v>
      </c>
      <c r="W6" s="2" t="s">
        <v>40</v>
      </c>
      <c r="X6" s="2" t="s">
        <v>44</v>
      </c>
      <c r="Y6" s="2" t="s">
        <v>47</v>
      </c>
      <c r="Z6" s="2" t="s">
        <v>45</v>
      </c>
      <c r="AA6" s="2" t="s">
        <v>44</v>
      </c>
      <c r="AB6" s="2" t="s">
        <v>46</v>
      </c>
      <c r="AC6" s="2" t="s">
        <v>48</v>
      </c>
    </row>
    <row r="7" spans="6:29" x14ac:dyDescent="0.3">
      <c r="G7" s="6" t="s">
        <v>43</v>
      </c>
      <c r="H7" s="7" t="s">
        <v>44</v>
      </c>
      <c r="S7" t="s">
        <v>36</v>
      </c>
      <c r="T7" t="s">
        <v>38</v>
      </c>
    </row>
    <row r="8" spans="6:29" x14ac:dyDescent="0.3">
      <c r="F8" s="1" t="s">
        <v>0</v>
      </c>
      <c r="G8" s="8">
        <f>P8*10</f>
        <v>235.6</v>
      </c>
      <c r="H8" s="10">
        <f>LN(G8)</f>
        <v>5.4621354517774314</v>
      </c>
      <c r="I8" s="2">
        <v>0.437</v>
      </c>
      <c r="J8" s="2">
        <v>0.41699999999999998</v>
      </c>
      <c r="K8" s="2">
        <v>9.0999999999999998E-2</v>
      </c>
      <c r="L8" s="2">
        <v>3.3000000000000002E-2</v>
      </c>
      <c r="M8" s="2">
        <v>0.02</v>
      </c>
      <c r="N8" s="2">
        <v>7.26</v>
      </c>
      <c r="O8" s="2">
        <v>0.69399999999999995</v>
      </c>
      <c r="P8" s="2">
        <v>23.56</v>
      </c>
      <c r="Q8" s="2">
        <v>4.95</v>
      </c>
      <c r="R8">
        <f>LN(M8)</f>
        <v>-3.912023005428146</v>
      </c>
      <c r="S8">
        <f>P8*10</f>
        <v>235.6</v>
      </c>
      <c r="T8">
        <f>Q8</f>
        <v>4.95</v>
      </c>
      <c r="V8">
        <f>LOG(S8)</f>
        <v>2.372175286115064</v>
      </c>
      <c r="W8">
        <f>LOG(T8)</f>
        <v>0.69460519893356876</v>
      </c>
      <c r="X8">
        <f>LN(S8)</f>
        <v>5.4621354517774314</v>
      </c>
      <c r="Y8">
        <f>LN(T8)</f>
        <v>1.5993875765805989</v>
      </c>
      <c r="Z8">
        <f t="shared" ref="Z8:Z18" si="0">O8</f>
        <v>0.69399999999999995</v>
      </c>
      <c r="AA8">
        <f t="shared" ref="AA8:AA18" si="1">LN(S8)</f>
        <v>5.4621354517774314</v>
      </c>
      <c r="AB8">
        <f>LN(Z8)</f>
        <v>-0.36528331847533263</v>
      </c>
      <c r="AC8">
        <f>LN(N8)</f>
        <v>1.9823798288367047</v>
      </c>
    </row>
    <row r="9" spans="6:29" ht="28.8" x14ac:dyDescent="0.3">
      <c r="F9" s="1" t="s">
        <v>1</v>
      </c>
      <c r="G9" s="8">
        <f t="shared" ref="G9:G18" si="2">P9*10</f>
        <v>59.800000000000004</v>
      </c>
      <c r="H9" s="10">
        <f t="shared" ref="H9:H18" si="3">LN(G9)</f>
        <v>4.0910056609565864</v>
      </c>
      <c r="I9" s="2">
        <v>0.437</v>
      </c>
      <c r="J9" s="2">
        <v>0.40100000000000002</v>
      </c>
      <c r="K9" s="2">
        <v>0.125</v>
      </c>
      <c r="L9" s="2">
        <v>5.5E-2</v>
      </c>
      <c r="M9" s="2">
        <v>3.5000000000000003E-2</v>
      </c>
      <c r="N9" s="2">
        <v>8.69</v>
      </c>
      <c r="O9" s="2">
        <v>0.55300000000000005</v>
      </c>
      <c r="P9" s="2">
        <v>5.98</v>
      </c>
      <c r="Q9" s="2">
        <v>6.13</v>
      </c>
      <c r="R9">
        <f t="shared" ref="R9:R18" si="4">LN(M9)</f>
        <v>-3.3524072174927233</v>
      </c>
      <c r="S9">
        <f t="shared" ref="S9:S18" si="5">P9*10</f>
        <v>59.800000000000004</v>
      </c>
      <c r="T9">
        <f t="shared" ref="T9:T18" si="6">Q9</f>
        <v>6.13</v>
      </c>
      <c r="V9">
        <f t="shared" ref="V9:V18" si="7">LOG(S9)</f>
        <v>1.7767011839884108</v>
      </c>
      <c r="W9">
        <f t="shared" ref="W9:W18" si="8">LOG(T9)</f>
        <v>0.78746047451841505</v>
      </c>
      <c r="X9">
        <f t="shared" ref="X9:X18" si="9">LN(S9)</f>
        <v>4.0910056609565864</v>
      </c>
      <c r="Y9">
        <f t="shared" ref="Y9:Y18" si="10">LN(T9)</f>
        <v>1.81319474994812</v>
      </c>
      <c r="Z9">
        <f t="shared" si="0"/>
        <v>0.55300000000000005</v>
      </c>
      <c r="AA9">
        <f t="shared" si="1"/>
        <v>4.0910056609565864</v>
      </c>
      <c r="AB9">
        <f t="shared" ref="AB9:AB18" si="11">LN(Z9)</f>
        <v>-0.5923972774598022</v>
      </c>
      <c r="AC9">
        <f t="shared" ref="AC9:AC18" si="12">LN(N9)</f>
        <v>2.1621729392773008</v>
      </c>
    </row>
    <row r="10" spans="6:29" ht="28.8" x14ac:dyDescent="0.3">
      <c r="F10" s="1" t="s">
        <v>2</v>
      </c>
      <c r="G10" s="8">
        <f t="shared" si="2"/>
        <v>21.8</v>
      </c>
      <c r="H10" s="10">
        <f t="shared" si="3"/>
        <v>3.0819099697950434</v>
      </c>
      <c r="I10" s="2">
        <v>0.45300000000000001</v>
      </c>
      <c r="J10" s="2">
        <v>0.41199999999999998</v>
      </c>
      <c r="K10" s="2">
        <v>0.20699999999999999</v>
      </c>
      <c r="L10" s="2">
        <v>9.5000000000000001E-2</v>
      </c>
      <c r="M10" s="2">
        <v>4.1000000000000002E-2</v>
      </c>
      <c r="N10" s="2">
        <v>14.66</v>
      </c>
      <c r="O10" s="2">
        <v>0.378</v>
      </c>
      <c r="P10" s="2">
        <v>2.1800000000000002</v>
      </c>
      <c r="Q10" s="2">
        <v>11.01</v>
      </c>
      <c r="R10">
        <f t="shared" si="4"/>
        <v>-3.1941832122778293</v>
      </c>
      <c r="S10">
        <f t="shared" si="5"/>
        <v>21.8</v>
      </c>
      <c r="T10">
        <f t="shared" si="6"/>
        <v>11.01</v>
      </c>
      <c r="V10">
        <f t="shared" si="7"/>
        <v>1.3384564936046048</v>
      </c>
      <c r="W10">
        <f t="shared" si="8"/>
        <v>1.0417873189717517</v>
      </c>
      <c r="X10">
        <f t="shared" si="9"/>
        <v>3.0819099697950434</v>
      </c>
      <c r="Y10">
        <f t="shared" si="10"/>
        <v>2.3988039507345884</v>
      </c>
      <c r="Z10">
        <f t="shared" si="0"/>
        <v>0.378</v>
      </c>
      <c r="AA10">
        <f t="shared" si="1"/>
        <v>3.0819099697950434</v>
      </c>
      <c r="AB10">
        <f t="shared" si="11"/>
        <v>-0.97286108336254939</v>
      </c>
      <c r="AC10">
        <f t="shared" si="12"/>
        <v>2.6851226964585053</v>
      </c>
    </row>
    <row r="11" spans="6:29" x14ac:dyDescent="0.3">
      <c r="F11" s="1" t="s">
        <v>3</v>
      </c>
      <c r="G11" s="8">
        <f t="shared" si="2"/>
        <v>13.200000000000001</v>
      </c>
      <c r="H11" s="10">
        <f t="shared" si="3"/>
        <v>2.5802168295923251</v>
      </c>
      <c r="I11" s="2">
        <v>0.46300000000000002</v>
      </c>
      <c r="J11" s="2">
        <v>0.434</v>
      </c>
      <c r="K11" s="2">
        <v>0.27</v>
      </c>
      <c r="L11" s="2">
        <v>0.11700000000000001</v>
      </c>
      <c r="M11" s="2">
        <v>2.7E-2</v>
      </c>
      <c r="N11" s="2">
        <v>11.15</v>
      </c>
      <c r="O11" s="2">
        <v>0.252</v>
      </c>
      <c r="P11" s="2">
        <v>1.32</v>
      </c>
      <c r="Q11" s="2">
        <v>8.89</v>
      </c>
      <c r="R11">
        <f t="shared" si="4"/>
        <v>-3.6119184129778081</v>
      </c>
      <c r="S11">
        <f t="shared" si="5"/>
        <v>13.200000000000001</v>
      </c>
      <c r="T11">
        <f t="shared" si="6"/>
        <v>8.89</v>
      </c>
      <c r="V11">
        <f t="shared" si="7"/>
        <v>1.1205739312058498</v>
      </c>
      <c r="W11">
        <f t="shared" si="8"/>
        <v>0.94890176097021373</v>
      </c>
      <c r="X11">
        <f t="shared" si="9"/>
        <v>2.5802168295923251</v>
      </c>
      <c r="Y11">
        <f t="shared" si="10"/>
        <v>2.1849270495258133</v>
      </c>
      <c r="Z11">
        <f t="shared" si="0"/>
        <v>0.252</v>
      </c>
      <c r="AA11">
        <f t="shared" si="1"/>
        <v>2.5802168295923251</v>
      </c>
      <c r="AB11">
        <f t="shared" si="11"/>
        <v>-1.3783261914707137</v>
      </c>
      <c r="AC11">
        <f t="shared" si="12"/>
        <v>2.411439497906128</v>
      </c>
    </row>
    <row r="12" spans="6:29" x14ac:dyDescent="0.3">
      <c r="F12" s="1" t="s">
        <v>4</v>
      </c>
      <c r="G12" s="8">
        <f t="shared" si="2"/>
        <v>6.8000000000000007</v>
      </c>
      <c r="H12" s="10">
        <f t="shared" si="3"/>
        <v>1.9169226121820611</v>
      </c>
      <c r="I12" s="2">
        <v>0.501</v>
      </c>
      <c r="J12" s="2">
        <v>0.48599999999999999</v>
      </c>
      <c r="K12" s="2">
        <v>0.33</v>
      </c>
      <c r="L12" s="2">
        <v>0.13300000000000001</v>
      </c>
      <c r="M12" s="2">
        <v>1.4999999999999999E-2</v>
      </c>
      <c r="N12" s="2">
        <v>20.79</v>
      </c>
      <c r="O12" s="2">
        <v>0.23400000000000001</v>
      </c>
      <c r="P12" s="2">
        <v>0.68</v>
      </c>
      <c r="Q12" s="2">
        <v>16.68</v>
      </c>
      <c r="R12">
        <f t="shared" si="4"/>
        <v>-4.1997050778799272</v>
      </c>
      <c r="S12">
        <f t="shared" si="5"/>
        <v>6.8000000000000007</v>
      </c>
      <c r="T12">
        <f t="shared" si="6"/>
        <v>16.68</v>
      </c>
      <c r="V12">
        <f t="shared" si="7"/>
        <v>0.83250891270623639</v>
      </c>
      <c r="W12">
        <f t="shared" si="8"/>
        <v>1.2221960463017199</v>
      </c>
      <c r="X12">
        <f t="shared" si="9"/>
        <v>1.9169226121820611</v>
      </c>
      <c r="Y12">
        <f t="shared" si="10"/>
        <v>2.8142103969306005</v>
      </c>
      <c r="Z12">
        <f t="shared" si="0"/>
        <v>0.23400000000000001</v>
      </c>
      <c r="AA12">
        <f t="shared" si="1"/>
        <v>1.9169226121820611</v>
      </c>
      <c r="AB12">
        <f t="shared" si="11"/>
        <v>-1.4524341636244356</v>
      </c>
      <c r="AC12">
        <f t="shared" si="12"/>
        <v>3.0344721018699214</v>
      </c>
    </row>
    <row r="13" spans="6:29" ht="28.8" x14ac:dyDescent="0.3">
      <c r="F13" s="1" t="s">
        <v>5</v>
      </c>
      <c r="G13" s="8">
        <f t="shared" si="2"/>
        <v>3</v>
      </c>
      <c r="H13" s="10">
        <f t="shared" si="3"/>
        <v>1.0986122886681098</v>
      </c>
      <c r="I13" s="2">
        <v>0.39800000000000002</v>
      </c>
      <c r="J13" s="2">
        <v>0.33</v>
      </c>
      <c r="K13" s="2">
        <v>0.255</v>
      </c>
      <c r="L13" s="2">
        <v>0.14799999999999999</v>
      </c>
      <c r="M13" s="2">
        <v>6.8000000000000005E-2</v>
      </c>
      <c r="N13" s="2">
        <v>28.08</v>
      </c>
      <c r="O13" s="2">
        <v>0.31900000000000001</v>
      </c>
      <c r="P13" s="2">
        <v>0.3</v>
      </c>
      <c r="Q13" s="2">
        <v>21.85</v>
      </c>
      <c r="R13">
        <f t="shared" si="4"/>
        <v>-2.6882475738060303</v>
      </c>
      <c r="S13">
        <f t="shared" si="5"/>
        <v>3</v>
      </c>
      <c r="T13">
        <f t="shared" si="6"/>
        <v>21.85</v>
      </c>
      <c r="V13">
        <f t="shared" si="7"/>
        <v>0.47712125471966244</v>
      </c>
      <c r="W13">
        <f t="shared" si="8"/>
        <v>1.3394514413064407</v>
      </c>
      <c r="X13">
        <f t="shared" si="9"/>
        <v>1.0986122886681098</v>
      </c>
      <c r="Y13">
        <f t="shared" si="10"/>
        <v>3.0842009215415991</v>
      </c>
      <c r="Z13">
        <f t="shared" si="0"/>
        <v>0.31900000000000001</v>
      </c>
      <c r="AA13">
        <f t="shared" si="1"/>
        <v>1.0986122886681098</v>
      </c>
      <c r="AB13">
        <f t="shared" si="11"/>
        <v>-1.1425641761972924</v>
      </c>
      <c r="AC13">
        <f t="shared" si="12"/>
        <v>3.3350575791576103</v>
      </c>
    </row>
    <row r="14" spans="6:29" ht="28.8" x14ac:dyDescent="0.3">
      <c r="F14" s="1" t="s">
        <v>6</v>
      </c>
      <c r="G14" s="8">
        <f t="shared" si="2"/>
        <v>2</v>
      </c>
      <c r="H14" s="10">
        <f t="shared" si="3"/>
        <v>0.69314718055994529</v>
      </c>
      <c r="I14" s="2">
        <v>0.46400000000000002</v>
      </c>
      <c r="J14" s="2">
        <v>0.39</v>
      </c>
      <c r="K14" s="2">
        <v>0.318</v>
      </c>
      <c r="L14" s="2">
        <v>0.19700000000000001</v>
      </c>
      <c r="M14" s="2">
        <v>7.4999999999999997E-2</v>
      </c>
      <c r="N14" s="2">
        <v>25.89</v>
      </c>
      <c r="O14" s="2">
        <v>0.24199999999999999</v>
      </c>
      <c r="P14" s="2">
        <v>0.2</v>
      </c>
      <c r="Q14" s="2">
        <v>20.88</v>
      </c>
      <c r="R14">
        <f t="shared" si="4"/>
        <v>-2.5902671654458267</v>
      </c>
      <c r="S14">
        <f t="shared" si="5"/>
        <v>2</v>
      </c>
      <c r="T14">
        <f t="shared" si="6"/>
        <v>20.88</v>
      </c>
      <c r="V14">
        <f t="shared" si="7"/>
        <v>0.3010299956639812</v>
      </c>
      <c r="W14">
        <f t="shared" si="8"/>
        <v>1.3197304943302246</v>
      </c>
      <c r="X14">
        <f t="shared" si="9"/>
        <v>0.69314718055994529</v>
      </c>
      <c r="Y14">
        <f t="shared" si="10"/>
        <v>3.0387917630144381</v>
      </c>
      <c r="Z14">
        <f t="shared" si="0"/>
        <v>0.24199999999999999</v>
      </c>
      <c r="AA14">
        <f t="shared" si="1"/>
        <v>0.69314718055994529</v>
      </c>
      <c r="AB14">
        <f t="shared" si="11"/>
        <v>-1.4188175528254507</v>
      </c>
      <c r="AC14">
        <f t="shared" si="12"/>
        <v>3.2538567937634464</v>
      </c>
    </row>
    <row r="15" spans="6:29" ht="28.8" x14ac:dyDescent="0.3">
      <c r="F15" s="1" t="s">
        <v>7</v>
      </c>
      <c r="G15" s="8">
        <f t="shared" si="2"/>
        <v>2</v>
      </c>
      <c r="H15" s="10">
        <f t="shared" si="3"/>
        <v>0.69314718055994529</v>
      </c>
      <c r="I15" s="2">
        <v>0.47099999999999997</v>
      </c>
      <c r="J15" s="2">
        <v>0.432</v>
      </c>
      <c r="K15" s="2">
        <v>0.36599999999999999</v>
      </c>
      <c r="L15" s="2">
        <v>0.20799999999999999</v>
      </c>
      <c r="M15" s="2">
        <v>0.04</v>
      </c>
      <c r="N15" s="2">
        <v>32.56</v>
      </c>
      <c r="O15" s="2">
        <v>0.17699999999999999</v>
      </c>
      <c r="P15" s="2">
        <v>0.2</v>
      </c>
      <c r="Q15" s="2">
        <v>27.3</v>
      </c>
      <c r="R15">
        <f t="shared" si="4"/>
        <v>-3.2188758248682006</v>
      </c>
      <c r="S15">
        <f t="shared" si="5"/>
        <v>2</v>
      </c>
      <c r="T15">
        <f t="shared" si="6"/>
        <v>27.3</v>
      </c>
      <c r="V15">
        <f t="shared" si="7"/>
        <v>0.3010299956639812</v>
      </c>
      <c r="W15">
        <f t="shared" si="8"/>
        <v>1.436162647040756</v>
      </c>
      <c r="X15">
        <f t="shared" si="9"/>
        <v>0.69314718055994529</v>
      </c>
      <c r="Y15">
        <f t="shared" si="10"/>
        <v>3.3068867021909143</v>
      </c>
      <c r="Z15">
        <f t="shared" si="0"/>
        <v>0.17699999999999999</v>
      </c>
      <c r="AA15">
        <f t="shared" si="1"/>
        <v>0.69314718055994529</v>
      </c>
      <c r="AB15">
        <f t="shared" si="11"/>
        <v>-1.731605546408308</v>
      </c>
      <c r="AC15">
        <f t="shared" si="12"/>
        <v>3.4830845411343394</v>
      </c>
    </row>
    <row r="16" spans="6:29" ht="28.8" x14ac:dyDescent="0.3">
      <c r="F16" s="1" t="s">
        <v>8</v>
      </c>
      <c r="G16" s="8">
        <f t="shared" si="2"/>
        <v>1.2</v>
      </c>
      <c r="H16" s="10">
        <f t="shared" si="3"/>
        <v>0.18232155679395459</v>
      </c>
      <c r="I16" s="2">
        <v>0.43</v>
      </c>
      <c r="J16" s="2">
        <v>0.32100000000000001</v>
      </c>
      <c r="K16" s="2">
        <v>0.33900000000000002</v>
      </c>
      <c r="L16" s="2">
        <v>0.23899999999999999</v>
      </c>
      <c r="M16" s="2">
        <v>0.109</v>
      </c>
      <c r="N16" s="2">
        <v>29.17</v>
      </c>
      <c r="O16" s="2">
        <v>0.223</v>
      </c>
      <c r="P16" s="2">
        <v>0.12</v>
      </c>
      <c r="Q16" s="2">
        <v>23.9</v>
      </c>
      <c r="R16">
        <f t="shared" si="4"/>
        <v>-2.2164073967529934</v>
      </c>
      <c r="S16">
        <f t="shared" si="5"/>
        <v>1.2</v>
      </c>
      <c r="T16">
        <f t="shared" si="6"/>
        <v>23.9</v>
      </c>
      <c r="V16">
        <f t="shared" si="7"/>
        <v>7.9181246047624818E-2</v>
      </c>
      <c r="W16">
        <f t="shared" si="8"/>
        <v>1.3783979009481377</v>
      </c>
      <c r="X16">
        <f t="shared" si="9"/>
        <v>0.18232155679395459</v>
      </c>
      <c r="Y16">
        <f t="shared" si="10"/>
        <v>3.1738784589374651</v>
      </c>
      <c r="Z16">
        <f t="shared" si="0"/>
        <v>0.223</v>
      </c>
      <c r="AA16">
        <f t="shared" si="1"/>
        <v>0.18232155679395459</v>
      </c>
      <c r="AB16">
        <f t="shared" si="11"/>
        <v>-1.5005835075220182</v>
      </c>
      <c r="AC16">
        <f t="shared" si="12"/>
        <v>3.3731407838796299</v>
      </c>
    </row>
    <row r="17" spans="6:29" x14ac:dyDescent="0.3">
      <c r="F17" s="1" t="s">
        <v>9</v>
      </c>
      <c r="G17" s="8">
        <f t="shared" si="2"/>
        <v>1</v>
      </c>
      <c r="H17" s="10">
        <f t="shared" si="3"/>
        <v>0</v>
      </c>
      <c r="I17" s="2">
        <v>0.47899999999999998</v>
      </c>
      <c r="J17" s="2">
        <v>0.42299999999999999</v>
      </c>
      <c r="K17" s="2">
        <v>0.38700000000000001</v>
      </c>
      <c r="L17" s="2">
        <v>0.25</v>
      </c>
      <c r="M17" s="2">
        <v>5.6000000000000001E-2</v>
      </c>
      <c r="N17" s="2">
        <v>34.19</v>
      </c>
      <c r="O17" s="2">
        <v>0.15</v>
      </c>
      <c r="P17" s="2">
        <v>0.1</v>
      </c>
      <c r="Q17" s="2">
        <v>29.22</v>
      </c>
      <c r="R17">
        <f t="shared" si="4"/>
        <v>-2.8824035882469876</v>
      </c>
      <c r="S17">
        <f t="shared" si="5"/>
        <v>1</v>
      </c>
      <c r="T17">
        <f t="shared" si="6"/>
        <v>29.22</v>
      </c>
      <c r="V17">
        <f t="shared" si="7"/>
        <v>0</v>
      </c>
      <c r="W17">
        <f t="shared" si="8"/>
        <v>1.4656802115982779</v>
      </c>
      <c r="X17">
        <f t="shared" si="9"/>
        <v>0</v>
      </c>
      <c r="Y17">
        <f t="shared" si="10"/>
        <v>3.3748534063225533</v>
      </c>
      <c r="Z17">
        <f t="shared" si="0"/>
        <v>0.15</v>
      </c>
      <c r="AA17">
        <f t="shared" si="1"/>
        <v>0</v>
      </c>
      <c r="AB17">
        <f t="shared" si="11"/>
        <v>-1.8971199848858813</v>
      </c>
      <c r="AC17">
        <f t="shared" si="12"/>
        <v>3.5319332036512097</v>
      </c>
    </row>
    <row r="18" spans="6:29" x14ac:dyDescent="0.3">
      <c r="F18" s="1" t="s">
        <v>10</v>
      </c>
      <c r="G18" s="9">
        <f t="shared" si="2"/>
        <v>0.6</v>
      </c>
      <c r="H18" s="11">
        <f t="shared" si="3"/>
        <v>-0.51082562376599072</v>
      </c>
      <c r="I18" s="2">
        <v>0.47499999999999998</v>
      </c>
      <c r="J18" s="2">
        <v>0.38500000000000001</v>
      </c>
      <c r="K18" s="2">
        <v>0.39600000000000002</v>
      </c>
      <c r="L18" s="2">
        <v>0.27200000000000002</v>
      </c>
      <c r="M18" s="2">
        <v>0.09</v>
      </c>
      <c r="N18" s="2">
        <v>37.299999999999997</v>
      </c>
      <c r="O18" s="2">
        <v>0.16500000000000001</v>
      </c>
      <c r="P18" s="2">
        <v>0.06</v>
      </c>
      <c r="Q18" s="2">
        <v>31.63</v>
      </c>
      <c r="R18">
        <f t="shared" si="4"/>
        <v>-2.4079456086518722</v>
      </c>
      <c r="S18">
        <f t="shared" si="5"/>
        <v>0.6</v>
      </c>
      <c r="T18">
        <f t="shared" si="6"/>
        <v>31.63</v>
      </c>
      <c r="V18">
        <f t="shared" si="7"/>
        <v>-0.22184874961635639</v>
      </c>
      <c r="W18">
        <f t="shared" si="8"/>
        <v>1.5000991919157229</v>
      </c>
      <c r="X18">
        <f t="shared" si="9"/>
        <v>-0.51082562376599072</v>
      </c>
      <c r="Y18">
        <f t="shared" si="10"/>
        <v>3.4541060373175574</v>
      </c>
      <c r="Z18">
        <f t="shared" si="0"/>
        <v>0.16500000000000001</v>
      </c>
      <c r="AA18">
        <f t="shared" si="1"/>
        <v>-0.51082562376599072</v>
      </c>
      <c r="AB18">
        <f t="shared" si="11"/>
        <v>-1.8018098050815563</v>
      </c>
      <c r="AC18">
        <f t="shared" si="12"/>
        <v>3.6189933266497696</v>
      </c>
    </row>
    <row r="50" spans="27:27" x14ac:dyDescent="0.3">
      <c r="AA50" s="12">
        <v>1000</v>
      </c>
    </row>
    <row r="51" spans="27:27" x14ac:dyDescent="0.3">
      <c r="AA51">
        <f>LN(AA50)</f>
        <v>6.9077552789821368</v>
      </c>
    </row>
    <row r="52" spans="27:27" x14ac:dyDescent="0.3">
      <c r="AA52">
        <f>AA51*-0.238</f>
        <v>-1.6440457563977484</v>
      </c>
    </row>
    <row r="53" spans="27:27" x14ac:dyDescent="0.3">
      <c r="AA53">
        <f>EXP(AA52)</f>
        <v>0.19319683170169244</v>
      </c>
    </row>
    <row r="54" spans="27:27" x14ac:dyDescent="0.3">
      <c r="AA54">
        <f>AA53*0.0673</f>
        <v>1.30021467735239E-2</v>
      </c>
    </row>
  </sheetData>
  <mergeCells count="1">
    <mergeCell ref="F4:F6"/>
  </mergeCells>
  <hyperlinks>
    <hyperlink ref="N5" r:id="rId1" display="https://www.gsshawiki.com/File:Psi.gif" xr:uid="{25951559-9D18-4E05-B121-1F7D4691F8AA}"/>
    <hyperlink ref="Q5" r:id="rId2" display="https://www.gsshawiki.com/File:Psi.gif" xr:uid="{757E9CC1-4D7E-4A3A-B49D-11DFA527AA46}"/>
    <hyperlink ref="F1" r:id="rId3" xr:uid="{245C9A0B-1EEC-4936-A9BB-BB1E720DB880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24C5-C479-47D4-9617-6832BA07E0D5}">
  <dimension ref="A1:X32"/>
  <sheetViews>
    <sheetView tabSelected="1" topLeftCell="A6" workbookViewId="0">
      <selection activeCell="G24" sqref="G24"/>
    </sheetView>
  </sheetViews>
  <sheetFormatPr defaultRowHeight="14.4" x14ac:dyDescent="0.3"/>
  <cols>
    <col min="1" max="1" width="21.5546875" customWidth="1"/>
  </cols>
  <sheetData>
    <row r="1" spans="1:24" ht="15" customHeight="1" x14ac:dyDescent="0.3"/>
    <row r="2" spans="1:24" ht="15" customHeight="1" x14ac:dyDescent="0.3"/>
    <row r="3" spans="1:24" ht="15" customHeight="1" x14ac:dyDescent="0.3"/>
    <row r="4" spans="1:24" ht="15" customHeight="1" x14ac:dyDescent="0.3"/>
    <row r="5" spans="1:24" ht="15" customHeight="1" x14ac:dyDescent="0.3">
      <c r="B5" s="5"/>
      <c r="C5" s="5"/>
    </row>
    <row r="6" spans="1:24" ht="79.8" customHeight="1" x14ac:dyDescent="0.3">
      <c r="B6" s="2" t="s">
        <v>42</v>
      </c>
      <c r="C6" s="2"/>
      <c r="D6" s="2" t="s">
        <v>12</v>
      </c>
      <c r="E6" s="2" t="s">
        <v>15</v>
      </c>
      <c r="F6" s="2" t="s">
        <v>17</v>
      </c>
      <c r="G6" s="2" t="s">
        <v>19</v>
      </c>
      <c r="H6" s="2" t="s">
        <v>21</v>
      </c>
      <c r="I6" s="2" t="s">
        <v>23</v>
      </c>
      <c r="J6" s="2" t="s">
        <v>26</v>
      </c>
      <c r="K6" s="2" t="s">
        <v>29</v>
      </c>
      <c r="L6" s="2" t="s">
        <v>32</v>
      </c>
    </row>
    <row r="7" spans="1:24" ht="38.4" customHeight="1" x14ac:dyDescent="0.3">
      <c r="B7" s="2"/>
      <c r="C7" s="2"/>
      <c r="D7" s="2" t="s">
        <v>13</v>
      </c>
      <c r="E7" s="2" t="s">
        <v>16</v>
      </c>
      <c r="F7" s="2" t="s">
        <v>18</v>
      </c>
      <c r="G7" s="2" t="s">
        <v>20</v>
      </c>
      <c r="H7" s="2" t="s">
        <v>22</v>
      </c>
      <c r="I7" s="3" t="s">
        <v>24</v>
      </c>
      <c r="J7" s="2" t="s">
        <v>27</v>
      </c>
      <c r="K7" s="2" t="s">
        <v>30</v>
      </c>
      <c r="L7" s="3" t="s">
        <v>33</v>
      </c>
    </row>
    <row r="8" spans="1:24" ht="42" customHeight="1" x14ac:dyDescent="0.3">
      <c r="B8" s="2"/>
      <c r="C8" s="2"/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25</v>
      </c>
      <c r="J8" s="2" t="s">
        <v>28</v>
      </c>
      <c r="K8" s="2" t="s">
        <v>31</v>
      </c>
      <c r="L8" s="2" t="s">
        <v>25</v>
      </c>
      <c r="M8" s="2" t="s">
        <v>49</v>
      </c>
      <c r="N8" s="2" t="s">
        <v>35</v>
      </c>
      <c r="O8" s="2" t="s">
        <v>37</v>
      </c>
      <c r="P8" s="2"/>
      <c r="Q8" s="2" t="s">
        <v>39</v>
      </c>
      <c r="R8" s="2" t="s">
        <v>40</v>
      </c>
      <c r="S8" s="2" t="s">
        <v>44</v>
      </c>
      <c r="T8" s="2" t="s">
        <v>47</v>
      </c>
      <c r="U8" s="2" t="s">
        <v>45</v>
      </c>
      <c r="V8" s="2" t="s">
        <v>44</v>
      </c>
      <c r="W8" s="2" t="s">
        <v>46</v>
      </c>
      <c r="X8" s="2" t="s">
        <v>48</v>
      </c>
    </row>
    <row r="9" spans="1:24" ht="15" customHeight="1" x14ac:dyDescent="0.3">
      <c r="B9" s="6" t="s">
        <v>43</v>
      </c>
      <c r="C9" s="7" t="s">
        <v>44</v>
      </c>
      <c r="N9" t="s">
        <v>36</v>
      </c>
      <c r="O9" t="s">
        <v>38</v>
      </c>
    </row>
    <row r="10" spans="1:24" ht="15" customHeight="1" x14ac:dyDescent="0.3">
      <c r="A10" s="1" t="s">
        <v>0</v>
      </c>
      <c r="B10" s="8">
        <f>K10*10</f>
        <v>235.6</v>
      </c>
      <c r="C10" s="10">
        <f>LN(B10)</f>
        <v>5.4621354517774314</v>
      </c>
      <c r="D10" s="2">
        <v>0.437</v>
      </c>
      <c r="E10" s="2">
        <v>0.41699999999999998</v>
      </c>
      <c r="F10" s="2">
        <v>9.0999999999999998E-2</v>
      </c>
      <c r="G10" s="2">
        <v>3.3000000000000002E-2</v>
      </c>
      <c r="H10" s="2">
        <v>0.02</v>
      </c>
      <c r="I10" s="2">
        <v>7.26</v>
      </c>
      <c r="J10" s="2">
        <v>0.69399999999999995</v>
      </c>
      <c r="K10" s="2">
        <v>23.56</v>
      </c>
      <c r="L10" s="2">
        <v>4.95</v>
      </c>
      <c r="M10">
        <f>LN(H10)</f>
        <v>-3.912023005428146</v>
      </c>
      <c r="N10">
        <f>K10*10</f>
        <v>235.6</v>
      </c>
      <c r="O10">
        <f>L10</f>
        <v>4.95</v>
      </c>
      <c r="Q10">
        <f>LOG(N10)</f>
        <v>2.372175286115064</v>
      </c>
      <c r="R10">
        <f>LOG(O10)</f>
        <v>0.69460519893356876</v>
      </c>
      <c r="S10">
        <f>LN(N10)</f>
        <v>5.4621354517774314</v>
      </c>
      <c r="T10">
        <f>LN(O10)</f>
        <v>1.5993875765805989</v>
      </c>
      <c r="U10">
        <f t="shared" ref="U10:U20" si="0">J10</f>
        <v>0.69399999999999995</v>
      </c>
      <c r="V10">
        <f t="shared" ref="V10:V20" si="1">LN(N10)</f>
        <v>5.4621354517774314</v>
      </c>
      <c r="W10">
        <f>LN(U10)</f>
        <v>-0.36528331847533263</v>
      </c>
      <c r="X10">
        <f>LN(I10)</f>
        <v>1.9823798288367047</v>
      </c>
    </row>
    <row r="11" spans="1:24" ht="15" customHeight="1" x14ac:dyDescent="0.3">
      <c r="A11" s="1" t="s">
        <v>1</v>
      </c>
      <c r="B11" s="8">
        <f t="shared" ref="B11:B20" si="2">K11*10</f>
        <v>59.800000000000004</v>
      </c>
      <c r="C11" s="10">
        <f t="shared" ref="C11:C20" si="3">LN(B11)</f>
        <v>4.0910056609565864</v>
      </c>
      <c r="D11" s="2">
        <v>0.437</v>
      </c>
      <c r="E11" s="2">
        <v>0.40100000000000002</v>
      </c>
      <c r="F11" s="2">
        <v>0.125</v>
      </c>
      <c r="G11" s="2">
        <v>5.5E-2</v>
      </c>
      <c r="H11" s="2">
        <v>3.5000000000000003E-2</v>
      </c>
      <c r="I11" s="2">
        <v>8.69</v>
      </c>
      <c r="J11" s="2">
        <v>0.55300000000000005</v>
      </c>
      <c r="K11" s="2">
        <v>5.98</v>
      </c>
      <c r="L11" s="2">
        <v>6.13</v>
      </c>
      <c r="M11">
        <f t="shared" ref="M11:M20" si="4">LN(H11)</f>
        <v>-3.3524072174927233</v>
      </c>
      <c r="N11">
        <f t="shared" ref="N11:N20" si="5">K11*10</f>
        <v>59.800000000000004</v>
      </c>
      <c r="O11">
        <f t="shared" ref="O11:O20" si="6">L11</f>
        <v>6.13</v>
      </c>
      <c r="Q11">
        <f t="shared" ref="Q11:R20" si="7">LOG(N11)</f>
        <v>1.7767011839884108</v>
      </c>
      <c r="R11">
        <f t="shared" si="7"/>
        <v>0.78746047451841505</v>
      </c>
      <c r="S11">
        <f t="shared" ref="S11:T20" si="8">LN(N11)</f>
        <v>4.0910056609565864</v>
      </c>
      <c r="T11">
        <f t="shared" si="8"/>
        <v>1.81319474994812</v>
      </c>
      <c r="U11">
        <f t="shared" si="0"/>
        <v>0.55300000000000005</v>
      </c>
      <c r="V11">
        <f t="shared" si="1"/>
        <v>4.0910056609565864</v>
      </c>
      <c r="W11">
        <f t="shared" ref="W11:W20" si="9">LN(U11)</f>
        <v>-0.5923972774598022</v>
      </c>
      <c r="X11">
        <f t="shared" ref="X11:X20" si="10">LN(I11)</f>
        <v>2.1621729392773008</v>
      </c>
    </row>
    <row r="12" spans="1:24" ht="15" customHeight="1" x14ac:dyDescent="0.3">
      <c r="A12" s="1" t="s">
        <v>2</v>
      </c>
      <c r="B12" s="8">
        <f t="shared" si="2"/>
        <v>21.8</v>
      </c>
      <c r="C12" s="10">
        <f t="shared" si="3"/>
        <v>3.0819099697950434</v>
      </c>
      <c r="D12" s="2">
        <v>0.45300000000000001</v>
      </c>
      <c r="E12" s="2">
        <v>0.41199999999999998</v>
      </c>
      <c r="F12" s="2">
        <v>0.20699999999999999</v>
      </c>
      <c r="G12" s="2">
        <v>9.5000000000000001E-2</v>
      </c>
      <c r="H12" s="2">
        <v>4.1000000000000002E-2</v>
      </c>
      <c r="I12" s="2">
        <v>14.66</v>
      </c>
      <c r="J12" s="2">
        <v>0.378</v>
      </c>
      <c r="K12" s="2">
        <v>2.1800000000000002</v>
      </c>
      <c r="L12" s="2">
        <v>11.01</v>
      </c>
      <c r="M12">
        <f t="shared" si="4"/>
        <v>-3.1941832122778293</v>
      </c>
      <c r="N12">
        <f t="shared" si="5"/>
        <v>21.8</v>
      </c>
      <c r="O12">
        <f t="shared" si="6"/>
        <v>11.01</v>
      </c>
      <c r="Q12">
        <f t="shared" si="7"/>
        <v>1.3384564936046048</v>
      </c>
      <c r="R12">
        <f t="shared" si="7"/>
        <v>1.0417873189717517</v>
      </c>
      <c r="S12">
        <f t="shared" si="8"/>
        <v>3.0819099697950434</v>
      </c>
      <c r="T12">
        <f t="shared" si="8"/>
        <v>2.3988039507345884</v>
      </c>
      <c r="U12">
        <f t="shared" si="0"/>
        <v>0.378</v>
      </c>
      <c r="V12">
        <f t="shared" si="1"/>
        <v>3.0819099697950434</v>
      </c>
      <c r="W12">
        <f t="shared" si="9"/>
        <v>-0.97286108336254939</v>
      </c>
      <c r="X12">
        <f t="shared" si="10"/>
        <v>2.6851226964585053</v>
      </c>
    </row>
    <row r="13" spans="1:24" ht="15" customHeight="1" x14ac:dyDescent="0.3">
      <c r="A13" s="1" t="s">
        <v>3</v>
      </c>
      <c r="B13" s="8">
        <f t="shared" si="2"/>
        <v>13.200000000000001</v>
      </c>
      <c r="C13" s="10">
        <f t="shared" si="3"/>
        <v>2.5802168295923251</v>
      </c>
      <c r="D13" s="2">
        <v>0.46300000000000002</v>
      </c>
      <c r="E13" s="2">
        <v>0.434</v>
      </c>
      <c r="F13" s="2">
        <v>0.27</v>
      </c>
      <c r="G13" s="2">
        <v>0.11700000000000001</v>
      </c>
      <c r="H13" s="2">
        <v>2.7E-2</v>
      </c>
      <c r="I13" s="2">
        <v>11.15</v>
      </c>
      <c r="J13" s="2">
        <v>0.252</v>
      </c>
      <c r="K13" s="2">
        <v>1.32</v>
      </c>
      <c r="L13" s="2">
        <v>8.89</v>
      </c>
      <c r="M13">
        <f t="shared" si="4"/>
        <v>-3.6119184129778081</v>
      </c>
      <c r="N13">
        <f t="shared" si="5"/>
        <v>13.200000000000001</v>
      </c>
      <c r="O13">
        <f t="shared" si="6"/>
        <v>8.89</v>
      </c>
      <c r="Q13">
        <f t="shared" si="7"/>
        <v>1.1205739312058498</v>
      </c>
      <c r="R13">
        <f t="shared" si="7"/>
        <v>0.94890176097021373</v>
      </c>
      <c r="S13">
        <f t="shared" si="8"/>
        <v>2.5802168295923251</v>
      </c>
      <c r="T13">
        <f t="shared" si="8"/>
        <v>2.1849270495258133</v>
      </c>
      <c r="U13">
        <f t="shared" si="0"/>
        <v>0.252</v>
      </c>
      <c r="V13">
        <f t="shared" si="1"/>
        <v>2.5802168295923251</v>
      </c>
      <c r="W13">
        <f t="shared" si="9"/>
        <v>-1.3783261914707137</v>
      </c>
      <c r="X13">
        <f t="shared" si="10"/>
        <v>2.411439497906128</v>
      </c>
    </row>
    <row r="14" spans="1:24" ht="15" customHeight="1" x14ac:dyDescent="0.3">
      <c r="A14" s="1" t="s">
        <v>4</v>
      </c>
      <c r="B14" s="8">
        <f t="shared" si="2"/>
        <v>6.8000000000000007</v>
      </c>
      <c r="C14" s="10">
        <f t="shared" si="3"/>
        <v>1.9169226121820611</v>
      </c>
      <c r="D14" s="2">
        <v>0.501</v>
      </c>
      <c r="E14" s="2">
        <v>0.48599999999999999</v>
      </c>
      <c r="F14" s="2">
        <v>0.33</v>
      </c>
      <c r="G14" s="2">
        <v>0.13300000000000001</v>
      </c>
      <c r="H14" s="2">
        <v>1.4999999999999999E-2</v>
      </c>
      <c r="I14" s="2">
        <v>20.79</v>
      </c>
      <c r="J14" s="2">
        <v>0.23400000000000001</v>
      </c>
      <c r="K14" s="2">
        <v>0.68</v>
      </c>
      <c r="L14" s="2">
        <v>16.68</v>
      </c>
      <c r="M14">
        <f t="shared" si="4"/>
        <v>-4.1997050778799272</v>
      </c>
      <c r="N14">
        <f t="shared" si="5"/>
        <v>6.8000000000000007</v>
      </c>
      <c r="O14">
        <f t="shared" si="6"/>
        <v>16.68</v>
      </c>
      <c r="Q14">
        <f t="shared" si="7"/>
        <v>0.83250891270623639</v>
      </c>
      <c r="R14">
        <f t="shared" si="7"/>
        <v>1.2221960463017199</v>
      </c>
      <c r="S14">
        <f t="shared" si="8"/>
        <v>1.9169226121820611</v>
      </c>
      <c r="T14">
        <f t="shared" si="8"/>
        <v>2.8142103969306005</v>
      </c>
      <c r="U14">
        <f t="shared" si="0"/>
        <v>0.23400000000000001</v>
      </c>
      <c r="V14">
        <f t="shared" si="1"/>
        <v>1.9169226121820611</v>
      </c>
      <c r="W14">
        <f t="shared" si="9"/>
        <v>-1.4524341636244356</v>
      </c>
      <c r="X14">
        <f t="shared" si="10"/>
        <v>3.0344721018699214</v>
      </c>
    </row>
    <row r="15" spans="1:24" ht="15" customHeight="1" x14ac:dyDescent="0.3">
      <c r="A15" s="1" t="s">
        <v>5</v>
      </c>
      <c r="B15" s="8">
        <f t="shared" si="2"/>
        <v>3</v>
      </c>
      <c r="C15" s="10">
        <f t="shared" si="3"/>
        <v>1.0986122886681098</v>
      </c>
      <c r="D15" s="2">
        <v>0.39800000000000002</v>
      </c>
      <c r="E15" s="2">
        <v>0.33</v>
      </c>
      <c r="F15" s="2">
        <v>0.255</v>
      </c>
      <c r="G15" s="2">
        <v>0.14799999999999999</v>
      </c>
      <c r="H15" s="2">
        <v>6.8000000000000005E-2</v>
      </c>
      <c r="I15" s="2">
        <v>28.08</v>
      </c>
      <c r="J15" s="2">
        <v>0.31900000000000001</v>
      </c>
      <c r="K15" s="2">
        <v>0.3</v>
      </c>
      <c r="L15" s="2">
        <v>21.85</v>
      </c>
      <c r="M15">
        <f t="shared" si="4"/>
        <v>-2.6882475738060303</v>
      </c>
      <c r="N15">
        <f t="shared" si="5"/>
        <v>3</v>
      </c>
      <c r="O15">
        <f t="shared" si="6"/>
        <v>21.85</v>
      </c>
      <c r="Q15">
        <f t="shared" si="7"/>
        <v>0.47712125471966244</v>
      </c>
      <c r="R15">
        <f t="shared" si="7"/>
        <v>1.3394514413064407</v>
      </c>
      <c r="S15">
        <f t="shared" si="8"/>
        <v>1.0986122886681098</v>
      </c>
      <c r="T15">
        <f t="shared" si="8"/>
        <v>3.0842009215415991</v>
      </c>
      <c r="U15">
        <f t="shared" si="0"/>
        <v>0.31900000000000001</v>
      </c>
      <c r="V15">
        <f t="shared" si="1"/>
        <v>1.0986122886681098</v>
      </c>
      <c r="W15">
        <f t="shared" si="9"/>
        <v>-1.1425641761972924</v>
      </c>
      <c r="X15">
        <f t="shared" si="10"/>
        <v>3.3350575791576103</v>
      </c>
    </row>
    <row r="16" spans="1:24" ht="15" customHeight="1" x14ac:dyDescent="0.3">
      <c r="A16" s="1" t="s">
        <v>6</v>
      </c>
      <c r="B16" s="8">
        <f t="shared" si="2"/>
        <v>2</v>
      </c>
      <c r="C16" s="10">
        <f t="shared" si="3"/>
        <v>0.69314718055994529</v>
      </c>
      <c r="D16" s="2">
        <v>0.46400000000000002</v>
      </c>
      <c r="E16" s="2">
        <v>0.39</v>
      </c>
      <c r="F16" s="2">
        <v>0.318</v>
      </c>
      <c r="G16" s="2">
        <v>0.19700000000000001</v>
      </c>
      <c r="H16" s="2">
        <v>7.4999999999999997E-2</v>
      </c>
      <c r="I16" s="2">
        <v>25.89</v>
      </c>
      <c r="J16" s="2">
        <v>0.24199999999999999</v>
      </c>
      <c r="K16" s="2">
        <v>0.2</v>
      </c>
      <c r="L16" s="2">
        <v>20.88</v>
      </c>
      <c r="M16">
        <f t="shared" si="4"/>
        <v>-2.5902671654458267</v>
      </c>
      <c r="N16">
        <f t="shared" si="5"/>
        <v>2</v>
      </c>
      <c r="O16">
        <f t="shared" si="6"/>
        <v>20.88</v>
      </c>
      <c r="Q16">
        <f t="shared" si="7"/>
        <v>0.3010299956639812</v>
      </c>
      <c r="R16">
        <f t="shared" si="7"/>
        <v>1.3197304943302246</v>
      </c>
      <c r="S16">
        <f t="shared" si="8"/>
        <v>0.69314718055994529</v>
      </c>
      <c r="T16">
        <f t="shared" si="8"/>
        <v>3.0387917630144381</v>
      </c>
      <c r="U16">
        <f t="shared" si="0"/>
        <v>0.24199999999999999</v>
      </c>
      <c r="V16">
        <f t="shared" si="1"/>
        <v>0.69314718055994529</v>
      </c>
      <c r="W16">
        <f t="shared" si="9"/>
        <v>-1.4188175528254507</v>
      </c>
      <c r="X16">
        <f t="shared" si="10"/>
        <v>3.2538567937634464</v>
      </c>
    </row>
    <row r="17" spans="1:24" ht="15" customHeight="1" x14ac:dyDescent="0.3">
      <c r="A17" s="1" t="s">
        <v>7</v>
      </c>
      <c r="B17" s="8">
        <f t="shared" si="2"/>
        <v>2</v>
      </c>
      <c r="C17" s="10">
        <f t="shared" si="3"/>
        <v>0.69314718055994529</v>
      </c>
      <c r="D17" s="2">
        <v>0.47099999999999997</v>
      </c>
      <c r="E17" s="2">
        <v>0.432</v>
      </c>
      <c r="F17" s="2">
        <v>0.36599999999999999</v>
      </c>
      <c r="G17" s="2">
        <v>0.20799999999999999</v>
      </c>
      <c r="H17" s="2">
        <v>0.04</v>
      </c>
      <c r="I17" s="2">
        <v>32.56</v>
      </c>
      <c r="J17" s="2">
        <v>0.17699999999999999</v>
      </c>
      <c r="K17" s="2">
        <v>0.2</v>
      </c>
      <c r="L17" s="2">
        <v>27.3</v>
      </c>
      <c r="M17">
        <f t="shared" si="4"/>
        <v>-3.2188758248682006</v>
      </c>
      <c r="N17">
        <f t="shared" si="5"/>
        <v>2</v>
      </c>
      <c r="O17">
        <f t="shared" si="6"/>
        <v>27.3</v>
      </c>
      <c r="Q17">
        <f t="shared" si="7"/>
        <v>0.3010299956639812</v>
      </c>
      <c r="R17">
        <f t="shared" si="7"/>
        <v>1.436162647040756</v>
      </c>
      <c r="S17">
        <f t="shared" si="8"/>
        <v>0.69314718055994529</v>
      </c>
      <c r="T17">
        <f t="shared" si="8"/>
        <v>3.3068867021909143</v>
      </c>
      <c r="U17">
        <f t="shared" si="0"/>
        <v>0.17699999999999999</v>
      </c>
      <c r="V17">
        <f t="shared" si="1"/>
        <v>0.69314718055994529</v>
      </c>
      <c r="W17">
        <f t="shared" si="9"/>
        <v>-1.731605546408308</v>
      </c>
      <c r="X17">
        <f t="shared" si="10"/>
        <v>3.4830845411343394</v>
      </c>
    </row>
    <row r="18" spans="1:24" ht="15" customHeight="1" x14ac:dyDescent="0.3">
      <c r="A18" s="1" t="s">
        <v>8</v>
      </c>
      <c r="B18" s="8">
        <f t="shared" si="2"/>
        <v>1.2</v>
      </c>
      <c r="C18" s="10">
        <f t="shared" si="3"/>
        <v>0.18232155679395459</v>
      </c>
      <c r="D18" s="2">
        <v>0.43</v>
      </c>
      <c r="E18" s="2">
        <v>0.32100000000000001</v>
      </c>
      <c r="F18" s="2">
        <v>0.33900000000000002</v>
      </c>
      <c r="G18" s="2">
        <v>0.23899999999999999</v>
      </c>
      <c r="H18" s="2">
        <v>0.109</v>
      </c>
      <c r="I18" s="2">
        <v>29.17</v>
      </c>
      <c r="J18" s="2">
        <v>0.223</v>
      </c>
      <c r="K18" s="2">
        <v>0.12</v>
      </c>
      <c r="L18" s="2">
        <v>23.9</v>
      </c>
      <c r="M18">
        <f t="shared" si="4"/>
        <v>-2.2164073967529934</v>
      </c>
      <c r="N18">
        <f t="shared" si="5"/>
        <v>1.2</v>
      </c>
      <c r="O18">
        <f t="shared" si="6"/>
        <v>23.9</v>
      </c>
      <c r="Q18">
        <f t="shared" si="7"/>
        <v>7.9181246047624818E-2</v>
      </c>
      <c r="R18">
        <f t="shared" si="7"/>
        <v>1.3783979009481377</v>
      </c>
      <c r="S18">
        <f t="shared" si="8"/>
        <v>0.18232155679395459</v>
      </c>
      <c r="T18">
        <f t="shared" si="8"/>
        <v>3.1738784589374651</v>
      </c>
      <c r="U18">
        <f t="shared" si="0"/>
        <v>0.223</v>
      </c>
      <c r="V18">
        <f t="shared" si="1"/>
        <v>0.18232155679395459</v>
      </c>
      <c r="W18">
        <f t="shared" si="9"/>
        <v>-1.5005835075220182</v>
      </c>
      <c r="X18">
        <f t="shared" si="10"/>
        <v>3.3731407838796299</v>
      </c>
    </row>
    <row r="19" spans="1:24" ht="15" customHeight="1" x14ac:dyDescent="0.3">
      <c r="A19" s="1" t="s">
        <v>9</v>
      </c>
      <c r="B19" s="8">
        <f t="shared" si="2"/>
        <v>1</v>
      </c>
      <c r="C19" s="10">
        <f t="shared" si="3"/>
        <v>0</v>
      </c>
      <c r="D19" s="2">
        <v>0.47899999999999998</v>
      </c>
      <c r="E19" s="2">
        <v>0.42299999999999999</v>
      </c>
      <c r="F19" s="2">
        <v>0.38700000000000001</v>
      </c>
      <c r="G19" s="2">
        <v>0.25</v>
      </c>
      <c r="H19" s="2">
        <v>5.6000000000000001E-2</v>
      </c>
      <c r="I19" s="2">
        <v>34.19</v>
      </c>
      <c r="J19" s="2">
        <v>0.15</v>
      </c>
      <c r="K19" s="2">
        <v>0.1</v>
      </c>
      <c r="L19" s="2">
        <v>29.22</v>
      </c>
      <c r="M19">
        <f t="shared" si="4"/>
        <v>-2.8824035882469876</v>
      </c>
      <c r="N19">
        <f t="shared" si="5"/>
        <v>1</v>
      </c>
      <c r="O19">
        <f t="shared" si="6"/>
        <v>29.22</v>
      </c>
      <c r="Q19">
        <f t="shared" si="7"/>
        <v>0</v>
      </c>
      <c r="R19">
        <f t="shared" si="7"/>
        <v>1.4656802115982779</v>
      </c>
      <c r="S19">
        <f t="shared" si="8"/>
        <v>0</v>
      </c>
      <c r="T19">
        <f t="shared" si="8"/>
        <v>3.3748534063225533</v>
      </c>
      <c r="U19">
        <f t="shared" si="0"/>
        <v>0.15</v>
      </c>
      <c r="V19">
        <f t="shared" si="1"/>
        <v>0</v>
      </c>
      <c r="W19">
        <f t="shared" si="9"/>
        <v>-1.8971199848858813</v>
      </c>
      <c r="X19">
        <f t="shared" si="10"/>
        <v>3.5319332036512097</v>
      </c>
    </row>
    <row r="20" spans="1:24" ht="15" customHeight="1" x14ac:dyDescent="0.3">
      <c r="A20" s="1" t="s">
        <v>10</v>
      </c>
      <c r="B20" s="9">
        <f t="shared" si="2"/>
        <v>0.6</v>
      </c>
      <c r="C20" s="11">
        <f t="shared" si="3"/>
        <v>-0.51082562376599072</v>
      </c>
      <c r="D20" s="2">
        <v>0.47499999999999998</v>
      </c>
      <c r="E20" s="2">
        <v>0.38500000000000001</v>
      </c>
      <c r="F20" s="2">
        <v>0.39600000000000002</v>
      </c>
      <c r="G20" s="2">
        <v>0.27200000000000002</v>
      </c>
      <c r="H20" s="2">
        <v>0.09</v>
      </c>
      <c r="I20" s="2">
        <v>37.299999999999997</v>
      </c>
      <c r="J20" s="2">
        <v>0.16500000000000001</v>
      </c>
      <c r="K20" s="2">
        <v>0.06</v>
      </c>
      <c r="L20" s="2">
        <v>31.63</v>
      </c>
      <c r="M20">
        <f t="shared" si="4"/>
        <v>-2.4079456086518722</v>
      </c>
      <c r="N20">
        <f t="shared" si="5"/>
        <v>0.6</v>
      </c>
      <c r="O20">
        <f t="shared" si="6"/>
        <v>31.63</v>
      </c>
      <c r="Q20">
        <f t="shared" si="7"/>
        <v>-0.22184874961635639</v>
      </c>
      <c r="R20">
        <f t="shared" si="7"/>
        <v>1.5000991919157229</v>
      </c>
      <c r="S20">
        <f t="shared" si="8"/>
        <v>-0.51082562376599072</v>
      </c>
      <c r="T20">
        <f t="shared" si="8"/>
        <v>3.4541060373175574</v>
      </c>
      <c r="U20">
        <f t="shared" si="0"/>
        <v>0.16500000000000001</v>
      </c>
      <c r="V20">
        <f t="shared" si="1"/>
        <v>-0.51082562376599072</v>
      </c>
      <c r="W20">
        <f t="shared" si="9"/>
        <v>-1.8018098050815563</v>
      </c>
      <c r="X20">
        <f t="shared" si="10"/>
        <v>3.6189933266497696</v>
      </c>
    </row>
    <row r="21" spans="1:24" ht="15" customHeight="1" x14ac:dyDescent="0.3"/>
    <row r="22" spans="1:24" ht="15" customHeight="1" x14ac:dyDescent="0.3"/>
    <row r="23" spans="1:24" x14ac:dyDescent="0.3">
      <c r="F23" t="s">
        <v>50</v>
      </c>
      <c r="H23" t="s">
        <v>51</v>
      </c>
      <c r="I23" t="s">
        <v>52</v>
      </c>
    </row>
    <row r="24" spans="1:24" x14ac:dyDescent="0.3">
      <c r="E24">
        <v>0.1</v>
      </c>
      <c r="F24">
        <f>(E24-$H$12)/($D$12-$H$12)</f>
        <v>0.14320388349514562</v>
      </c>
      <c r="G24">
        <f>F24^(1/$J$12)</f>
        <v>5.8489267018005386E-3</v>
      </c>
      <c r="H24">
        <f>$I$12/G24</f>
        <v>2506.4427624793202</v>
      </c>
      <c r="I24">
        <f>LOG(H24)</f>
        <v>3.3990577914452955</v>
      </c>
    </row>
    <row r="25" spans="1:24" x14ac:dyDescent="0.3">
      <c r="E25">
        <f>E24+0.05</f>
        <v>0.15000000000000002</v>
      </c>
      <c r="F25">
        <f t="shared" ref="F25:F33" si="11">(E25-$H$12)/($D$12-$H$12)</f>
        <v>0.2645631067961165</v>
      </c>
      <c r="G25">
        <f t="shared" ref="G25:G32" si="12">F25^(1/$J$12)</f>
        <v>2.966877995767073E-2</v>
      </c>
      <c r="H25">
        <f t="shared" ref="H25:H33" si="13">$I$12/G25</f>
        <v>494.12210481576352</v>
      </c>
      <c r="I25">
        <f t="shared" ref="I25:I33" si="14">LOG(H25)</f>
        <v>2.6938342827191595</v>
      </c>
    </row>
    <row r="26" spans="1:24" x14ac:dyDescent="0.3">
      <c r="E26">
        <f t="shared" ref="E26:E31" si="15">E25+0.05</f>
        <v>0.2</v>
      </c>
      <c r="F26">
        <f t="shared" si="11"/>
        <v>0.38592233009708737</v>
      </c>
      <c r="G26">
        <f t="shared" si="12"/>
        <v>8.0553499715352847E-2</v>
      </c>
      <c r="H26">
        <f t="shared" si="13"/>
        <v>181.99085144411077</v>
      </c>
      <c r="I26">
        <f t="shared" si="14"/>
        <v>2.260049556846599</v>
      </c>
    </row>
    <row r="27" spans="1:24" x14ac:dyDescent="0.3">
      <c r="E27">
        <f t="shared" si="15"/>
        <v>0.25</v>
      </c>
      <c r="F27">
        <f t="shared" si="11"/>
        <v>0.50728155339805814</v>
      </c>
      <c r="G27">
        <f t="shared" si="12"/>
        <v>0.16604875937107844</v>
      </c>
      <c r="H27">
        <f t="shared" si="13"/>
        <v>88.287320275838255</v>
      </c>
      <c r="I27">
        <f t="shared" si="14"/>
        <v>1.9458983351783385</v>
      </c>
    </row>
    <row r="28" spans="1:24" x14ac:dyDescent="0.3">
      <c r="E28">
        <f t="shared" si="15"/>
        <v>0.3</v>
      </c>
      <c r="F28">
        <f t="shared" si="11"/>
        <v>0.62864077669902907</v>
      </c>
      <c r="G28">
        <f t="shared" si="12"/>
        <v>0.29286900217069251</v>
      </c>
      <c r="H28">
        <f t="shared" si="13"/>
        <v>50.056509536149989</v>
      </c>
      <c r="I28">
        <f t="shared" si="14"/>
        <v>1.6994605627704076</v>
      </c>
    </row>
    <row r="29" spans="1:24" x14ac:dyDescent="0.3">
      <c r="E29">
        <f t="shared" si="15"/>
        <v>0.35</v>
      </c>
      <c r="F29">
        <f t="shared" si="11"/>
        <v>0.74999999999999989</v>
      </c>
      <c r="G29">
        <f t="shared" si="12"/>
        <v>0.46716924230867091</v>
      </c>
      <c r="H29">
        <f t="shared" si="13"/>
        <v>31.380490563875256</v>
      </c>
      <c r="I29">
        <f t="shared" si="14"/>
        <v>1.4966597285281251</v>
      </c>
    </row>
    <row r="30" spans="1:24" x14ac:dyDescent="0.3">
      <c r="E30">
        <f t="shared" si="15"/>
        <v>0.39999999999999997</v>
      </c>
      <c r="F30">
        <f t="shared" si="11"/>
        <v>0.87135922330097082</v>
      </c>
      <c r="G30">
        <f t="shared" si="12"/>
        <v>0.69469091688231732</v>
      </c>
      <c r="H30">
        <f t="shared" si="13"/>
        <v>21.102910148576836</v>
      </c>
      <c r="I30">
        <f t="shared" si="14"/>
        <v>1.3243423498152032</v>
      </c>
    </row>
    <row r="31" spans="1:24" x14ac:dyDescent="0.3">
      <c r="E31">
        <f t="shared" si="15"/>
        <v>0.44999999999999996</v>
      </c>
      <c r="F31">
        <f t="shared" si="11"/>
        <v>0.99271844660194164</v>
      </c>
      <c r="G31">
        <f t="shared" si="12"/>
        <v>0.98085185535795594</v>
      </c>
      <c r="H31">
        <f t="shared" si="13"/>
        <v>14.946191843262531</v>
      </c>
      <c r="I31">
        <f t="shared" si="14"/>
        <v>1.1745305523839262</v>
      </c>
    </row>
    <row r="32" spans="1:24" x14ac:dyDescent="0.3">
      <c r="E32">
        <f>E31+0.05</f>
        <v>0.49999999999999994</v>
      </c>
      <c r="F32">
        <f t="shared" si="11"/>
        <v>1.1140776699029125</v>
      </c>
      <c r="G32">
        <f t="shared" si="12"/>
        <v>1.3308067613251173</v>
      </c>
      <c r="H32">
        <f t="shared" si="13"/>
        <v>11.01587429973881</v>
      </c>
      <c r="I32">
        <f t="shared" si="14"/>
        <v>1.0420189716169437</v>
      </c>
    </row>
  </sheetData>
  <hyperlinks>
    <hyperlink ref="I7" r:id="rId1" display="https://www.gsshawiki.com/File:Psi.gif" xr:uid="{74A078CE-B62C-429A-8797-EA6B07D8B36C}"/>
    <hyperlink ref="L7" r:id="rId2" display="https://www.gsshawiki.com/File:Psi.gif" xr:uid="{E9DB621B-DF26-4E7B-A1D0-6209DA9FE58A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EC45979C5C049A19F02E744A428FF" ma:contentTypeVersion="14" ma:contentTypeDescription="Een nieuw document maken." ma:contentTypeScope="" ma:versionID="f5996e32557378a90493e5f03249e0f6">
  <xsd:schema xmlns:xsd="http://www.w3.org/2001/XMLSchema" xmlns:xs="http://www.w3.org/2001/XMLSchema" xmlns:p="http://schemas.microsoft.com/office/2006/metadata/properties" xmlns:ns3="c2fb78ee-7f80-47d5-98b2-7e891369b7bb" xmlns:ns4="8e80448a-be4d-46ae-83bb-e2adae7741fa" targetNamespace="http://schemas.microsoft.com/office/2006/metadata/properties" ma:root="true" ma:fieldsID="0d0d7db69a812adcd006be6af9aa5ff0" ns3:_="" ns4:_="">
    <xsd:import namespace="c2fb78ee-7f80-47d5-98b2-7e891369b7bb"/>
    <xsd:import namespace="8e80448a-be4d-46ae-83bb-e2adae7741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b78ee-7f80-47d5-98b2-7e891369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0448a-be4d-46ae-83bb-e2adae7741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fb78ee-7f80-47d5-98b2-7e891369b7b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E6E55-4940-49C5-A955-F25080F89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fb78ee-7f80-47d5-98b2-7e891369b7bb"/>
    <ds:schemaRef ds:uri="8e80448a-be4d-46ae-83bb-e2adae7741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2FDDBA-8E4A-41B0-9357-134C9F5B7B79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e80448a-be4d-46ae-83bb-e2adae7741fa"/>
    <ds:schemaRef ds:uri="c2fb78ee-7f80-47d5-98b2-7e891369b7bb"/>
  </ds:schemaRefs>
</ds:datastoreItem>
</file>

<file path=customXml/itemProps3.xml><?xml version="1.0" encoding="utf-8"?>
<ds:datastoreItem xmlns:ds="http://schemas.openxmlformats.org/officeDocument/2006/customXml" ds:itemID="{546FAC25-7A53-4BE4-87D4-6463C2D97D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Jetten, Victor (UT-ITC)</dc:creator>
  <cp:lastModifiedBy>Victor Jetten</cp:lastModifiedBy>
  <dcterms:created xsi:type="dcterms:W3CDTF">2023-05-11T10:01:51Z</dcterms:created>
  <dcterms:modified xsi:type="dcterms:W3CDTF">2023-08-28T05:50:11Z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0x010100B3BEC45979C5C049A19F02E744A428FF</vt:lpwstr>
  </property>
</Properties>
</file>